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2fb814a98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Summary" sheetId="1" r:id="R57833ba6162344f7"/>
    <x:sheet xmlns:r="http://schemas.openxmlformats.org/officeDocument/2006/relationships" name="Picture Details" sheetId="2" r:id="Rbb165a1864f94517"/>
    <x:sheet xmlns:r="http://schemas.openxmlformats.org/officeDocument/2006/relationships" name="Model Training" sheetId="3" r:id="R88b58b36e5624d2d"/>
    <x:sheet xmlns:r="http://schemas.openxmlformats.org/officeDocument/2006/relationships" name="Image Gallery" sheetId="4" r:id="Rb0d20f73870d44ae"/>
    <x:sheet xmlns:r="http://schemas.openxmlformats.org/officeDocument/2006/relationships" name="Scoring &amp; Validation" sheetId="5" r:id="R3728a7e44e83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0848887a64a87" /><Relationship Type="http://schemas.openxmlformats.org/officeDocument/2006/relationships/theme" Target="/xl/theme/theme1.xml" Id="Rf0e6800f4b904dbf" /><Relationship Type="http://schemas.openxmlformats.org/officeDocument/2006/relationships/sharedStrings" Target="/xl/sharedStrings.xml" Id="R38f353c2adec4631" /><Relationship Type="http://schemas.openxmlformats.org/officeDocument/2006/relationships/worksheet" Target="/xl/worksheets/sheet1.xml" Id="R57833ba6162344f7" /><Relationship Type="http://schemas.openxmlformats.org/officeDocument/2006/relationships/worksheet" Target="/xl/worksheets/sheet2.xml" Id="Rbb165a1864f94517" /><Relationship Type="http://schemas.openxmlformats.org/officeDocument/2006/relationships/worksheet" Target="/xl/worksheets/sheet3.xml" Id="R88b58b36e5624d2d" /><Relationship Type="http://schemas.openxmlformats.org/officeDocument/2006/relationships/worksheet" Target="/xl/worksheets/sheet4.xml" Id="Rb0d20f73870d44ae" /><Relationship Type="http://schemas.openxmlformats.org/officeDocument/2006/relationships/worksheet" Target="/xl/worksheets/sheet5.xml" Id="R3728a7e44e83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ae962f7dd374308" /><Relationship Type="http://schemas.openxmlformats.org/officeDocument/2006/relationships/image" Target="/xl/media/image2.jpg" Id="Ra741b42599214f6f" /><Relationship Type="http://schemas.openxmlformats.org/officeDocument/2006/relationships/image" Target="/xl/media/image3.jpg" Id="Re024e9ca9e904f75" /><Relationship Type="http://schemas.openxmlformats.org/officeDocument/2006/relationships/image" Target="/xl/media/image4.jpg" Id="R3a1a7048755d4889" /><Relationship Type="http://schemas.openxmlformats.org/officeDocument/2006/relationships/image" Target="/xl/media/image5.jpg" Id="R3b47da3a2c6349f0" /><Relationship Type="http://schemas.openxmlformats.org/officeDocument/2006/relationships/image" Target="/xl/media/image6.jpg" Id="R91f52d8a11c74516" /><Relationship Type="http://schemas.openxmlformats.org/officeDocument/2006/relationships/image" Target="/xl/media/image7.jpg" Id="R6987a03e7eea412d" /><Relationship Type="http://schemas.openxmlformats.org/officeDocument/2006/relationships/image" Target="/xl/media/image8.jpg" Id="Rdbd92e86fbda4b67" /><Relationship Type="http://schemas.openxmlformats.org/officeDocument/2006/relationships/image" Target="/xl/media/image9.jpg" Id="R66efa9ec2eb54fe9" /><Relationship Type="http://schemas.openxmlformats.org/officeDocument/2006/relationships/image" Target="/xl/media/image10.jpg" Id="Rb320586e47b146eb" /><Relationship Type="http://schemas.openxmlformats.org/officeDocument/2006/relationships/image" Target="/xl/media/image11.jpg" Id="R2a22fcf879c84c23" /><Relationship Type="http://schemas.openxmlformats.org/officeDocument/2006/relationships/image" Target="/xl/media/image12.jpg" Id="R48fa16ccdc164545" /><Relationship Type="http://schemas.openxmlformats.org/officeDocument/2006/relationships/image" Target="/xl/media/image13.jpg" Id="Rd438e4ff15ca49d6" /><Relationship Type="http://schemas.openxmlformats.org/officeDocument/2006/relationships/image" Target="/xl/media/image14.jpg" Id="Reeddf35059dc4a6e" /><Relationship Type="http://schemas.openxmlformats.org/officeDocument/2006/relationships/image" Target="/xl/media/image15.jpg" Id="R43e4d86ac99c4595" /><Relationship Type="http://schemas.openxmlformats.org/officeDocument/2006/relationships/image" Target="/xl/media/image16.jpg" Id="R157d93d9742f404c" /><Relationship Type="http://schemas.openxmlformats.org/officeDocument/2006/relationships/image" Target="/xl/media/image17.jpg" Id="Rd13a16f7e1f24667" /><Relationship Type="http://schemas.openxmlformats.org/officeDocument/2006/relationships/image" Target="/xl/media/image18.jpg" Id="Rdd956f0b0fec4e1c" /><Relationship Type="http://schemas.openxmlformats.org/officeDocument/2006/relationships/image" Target="/xl/media/image19.jpg" Id="Rba4276af11f24e67" /><Relationship Type="http://schemas.openxmlformats.org/officeDocument/2006/relationships/image" Target="/xl/media/image20.jpg" Id="R7664e869a8b941d0" /><Relationship Type="http://schemas.openxmlformats.org/officeDocument/2006/relationships/image" Target="/xl/media/image21.jpg" Id="R974870032450485e" /><Relationship Type="http://schemas.openxmlformats.org/officeDocument/2006/relationships/image" Target="/xl/media/image22.jpg" Id="R983b58dc352e46f0" /><Relationship Type="http://schemas.openxmlformats.org/officeDocument/2006/relationships/image" Target="/xl/media/image23.jpg" Id="Rd917d129186a4144" /><Relationship Type="http://schemas.openxmlformats.org/officeDocument/2006/relationships/image" Target="/xl/media/image24.jpg" Id="R7ae110673874453e" /><Relationship Type="http://schemas.openxmlformats.org/officeDocument/2006/relationships/image" Target="/xl/media/image25.jpg" Id="R09d6ebf2bb244b96" /><Relationship Type="http://schemas.openxmlformats.org/officeDocument/2006/relationships/image" Target="/xl/media/image26.jpg" Id="R21a55bd6470c4e8e" /><Relationship Type="http://schemas.openxmlformats.org/officeDocument/2006/relationships/image" Target="/xl/media/image27.jpg" Id="Rfc4d40e96dfd42db" /><Relationship Type="http://schemas.openxmlformats.org/officeDocument/2006/relationships/image" Target="/xl/media/image28.jpg" Id="R4908046f90da4954" /><Relationship Type="http://schemas.openxmlformats.org/officeDocument/2006/relationships/image" Target="/xl/media/image29.jpg" Id="R68f28bef842b49a8" /><Relationship Type="http://schemas.openxmlformats.org/officeDocument/2006/relationships/image" Target="/xl/media/image30.jpg" Id="R4036285514414dec" /><Relationship Type="http://schemas.openxmlformats.org/officeDocument/2006/relationships/image" Target="/xl/media/image31.jpg" Id="R9287d09e26324f0a" /><Relationship Type="http://schemas.openxmlformats.org/officeDocument/2006/relationships/image" Target="/xl/media/image32.jpg" Id="R61a71985646d487c" /><Relationship Type="http://schemas.openxmlformats.org/officeDocument/2006/relationships/image" Target="/xl/media/image33.jpg" Id="R523e87fbddf64181" /><Relationship Type="http://schemas.openxmlformats.org/officeDocument/2006/relationships/image" Target="/xl/media/image34.jpg" Id="R56806a907afc4e4f" /><Relationship Type="http://schemas.openxmlformats.org/officeDocument/2006/relationships/image" Target="/xl/media/image35.jpg" Id="R8578726139d64706" /><Relationship Type="http://schemas.openxmlformats.org/officeDocument/2006/relationships/image" Target="/xl/media/image36.jpg" Id="R84f71c320fb5425e" /><Relationship Type="http://schemas.openxmlformats.org/officeDocument/2006/relationships/image" Target="/xl/media/image37.jpg" Id="R184d14f058db4db1" /><Relationship Type="http://schemas.openxmlformats.org/officeDocument/2006/relationships/image" Target="/xl/media/image38.jpg" Id="R99b157de255e4f1a" /><Relationship Type="http://schemas.openxmlformats.org/officeDocument/2006/relationships/image" Target="/xl/media/image39.jpg" Id="R2c9656fa2c4548c6" /><Relationship Type="http://schemas.openxmlformats.org/officeDocument/2006/relationships/image" Target="/xl/media/image40.jpg" Id="R26a84ee247cf404f" /><Relationship Type="http://schemas.openxmlformats.org/officeDocument/2006/relationships/image" Target="/xl/media/image41.jpg" Id="R381bdbbeae6b47f0" /><Relationship Type="http://schemas.openxmlformats.org/officeDocument/2006/relationships/image" Target="/xl/media/image42.jpg" Id="R2a973ef119a74759" /><Relationship Type="http://schemas.openxmlformats.org/officeDocument/2006/relationships/image" Target="/xl/media/image43.jpg" Id="Raaeba7cb823f4308" /><Relationship Type="http://schemas.openxmlformats.org/officeDocument/2006/relationships/image" Target="/xl/media/image44.jpg" Id="R0fdbd895768f4f26" /><Relationship Type="http://schemas.openxmlformats.org/officeDocument/2006/relationships/image" Target="/xl/media/image45.jpg" Id="Raba0066538184a85" /><Relationship Type="http://schemas.openxmlformats.org/officeDocument/2006/relationships/image" Target="/xl/media/image46.jpg" Id="R2544509aa7be4cf4" /><Relationship Type="http://schemas.openxmlformats.org/officeDocument/2006/relationships/image" Target="/xl/media/image47.jpg" Id="R7b200d1ecb554087" /><Relationship Type="http://schemas.openxmlformats.org/officeDocument/2006/relationships/image" Target="/xl/media/image48.jpg" Id="R1cc53c1727ae400e" /><Relationship Type="http://schemas.openxmlformats.org/officeDocument/2006/relationships/image" Target="/xl/media/image49.jpg" Id="Rd77e0e2a354348ee" /><Relationship Type="http://schemas.openxmlformats.org/officeDocument/2006/relationships/image" Target="/xl/media/image50.jpg" Id="R4882617574044e7a" /><Relationship Type="http://schemas.openxmlformats.org/officeDocument/2006/relationships/image" Target="/xl/media/image51.jpg" Id="R1e674f6ab44c405c" /><Relationship Type="http://schemas.openxmlformats.org/officeDocument/2006/relationships/image" Target="/xl/media/image52.jpg" Id="R8e30d24611db43c4" /><Relationship Type="http://schemas.openxmlformats.org/officeDocument/2006/relationships/image" Target="/xl/media/image53.jpg" Id="R1592635912c94338" /><Relationship Type="http://schemas.openxmlformats.org/officeDocument/2006/relationships/image" Target="/xl/media/image54.jpg" Id="R86f7d10978674388" /><Relationship Type="http://schemas.openxmlformats.org/officeDocument/2006/relationships/image" Target="/xl/media/image55.jpg" Id="R753e25ad31404e88" /><Relationship Type="http://schemas.openxmlformats.org/officeDocument/2006/relationships/image" Target="/xl/media/image56.jpg" Id="R6f5f730ddb73460f" /><Relationship Type="http://schemas.openxmlformats.org/officeDocument/2006/relationships/image" Target="/xl/media/image57.jpg" Id="R85feab4f52404cbf" /><Relationship Type="http://schemas.openxmlformats.org/officeDocument/2006/relationships/image" Target="/xl/media/image58.jpg" Id="Rf841b632934d42fd" /><Relationship Type="http://schemas.openxmlformats.org/officeDocument/2006/relationships/image" Target="/xl/media/image59.jpg" Id="R9cdd8eac84f1447d" /><Relationship Type="http://schemas.openxmlformats.org/officeDocument/2006/relationships/image" Target="/xl/media/image60.jpg" Id="Re58bad6746b048c6" /><Relationship Type="http://schemas.openxmlformats.org/officeDocument/2006/relationships/image" Target="/xl/media/image61.jpg" Id="R0ed02549da344af6" /><Relationship Type="http://schemas.openxmlformats.org/officeDocument/2006/relationships/image" Target="/xl/media/image62.jpg" Id="Rc401c95d86324714" /><Relationship Type="http://schemas.openxmlformats.org/officeDocument/2006/relationships/image" Target="/xl/media/image63.jpg" Id="R8f98fb0b7495400a" /><Relationship Type="http://schemas.openxmlformats.org/officeDocument/2006/relationships/image" Target="/xl/media/image64.jpg" Id="R9fb9aaf367714497" /><Relationship Type="http://schemas.openxmlformats.org/officeDocument/2006/relationships/image" Target="/xl/media/image65.jpg" Id="R5b8a99f19f7744f9" /><Relationship Type="http://schemas.openxmlformats.org/officeDocument/2006/relationships/image" Target="/xl/media/image66.jpg" Id="Rd595708cf5bc4c15" /><Relationship Type="http://schemas.openxmlformats.org/officeDocument/2006/relationships/image" Target="/xl/media/image67.jpg" Id="R07a499b7729a4430" /><Relationship Type="http://schemas.openxmlformats.org/officeDocument/2006/relationships/image" Target="/xl/media/image68.jpg" Id="R3f5c43d7062b4ac9" /><Relationship Type="http://schemas.openxmlformats.org/officeDocument/2006/relationships/image" Target="/xl/media/image69.jpg" Id="R00f7b164a22f4547" /><Relationship Type="http://schemas.openxmlformats.org/officeDocument/2006/relationships/image" Target="/xl/media/image70.jpg" Id="R07103bd18d7645c3" /><Relationship Type="http://schemas.openxmlformats.org/officeDocument/2006/relationships/image" Target="/xl/media/image71.jpg" Id="R06b9a58bb16d49ac" /><Relationship Type="http://schemas.openxmlformats.org/officeDocument/2006/relationships/image" Target="/xl/media/image72.jpg" Id="Re86a1feedf6a455c" /><Relationship Type="http://schemas.openxmlformats.org/officeDocument/2006/relationships/image" Target="/xl/media/image73.jpg" Id="Rc43aa2417b3048d1" /><Relationship Type="http://schemas.openxmlformats.org/officeDocument/2006/relationships/image" Target="/xl/media/image74.jpg" Id="R3813f1370aeb492d" /><Relationship Type="http://schemas.openxmlformats.org/officeDocument/2006/relationships/image" Target="/xl/media/image75.jpg" Id="R4eed818adb854c57" /><Relationship Type="http://schemas.openxmlformats.org/officeDocument/2006/relationships/image" Target="/xl/media/image76.jpg" Id="Rcad7660581bf4088" /><Relationship Type="http://schemas.openxmlformats.org/officeDocument/2006/relationships/image" Target="/xl/media/image77.jpg" Id="Rc46c3c3f8866477a" /><Relationship Type="http://schemas.openxmlformats.org/officeDocument/2006/relationships/image" Target="/xl/media/image78.jpg" Id="R7272b697423c48c9" /><Relationship Type="http://schemas.openxmlformats.org/officeDocument/2006/relationships/image" Target="/xl/media/image79.jpg" Id="Rc7ea41a90cb248aa" /><Relationship Type="http://schemas.openxmlformats.org/officeDocument/2006/relationships/image" Target="/xl/media/image80.jpg" Id="Rba35f66adbf8447c" /><Relationship Type="http://schemas.openxmlformats.org/officeDocument/2006/relationships/image" Target="/xl/media/image81.jpg" Id="Rbf659623535a486e" /><Relationship Type="http://schemas.openxmlformats.org/officeDocument/2006/relationships/image" Target="/xl/media/image82.jpg" Id="Ra121a7ac23bd43af" /><Relationship Type="http://schemas.openxmlformats.org/officeDocument/2006/relationships/image" Target="/xl/media/image83.jpg" Id="Rdab3809ca1fa4d17" /><Relationship Type="http://schemas.openxmlformats.org/officeDocument/2006/relationships/image" Target="/xl/media/image84.jpg" Id="Reb759ed886d94a59" /><Relationship Type="http://schemas.openxmlformats.org/officeDocument/2006/relationships/image" Target="/xl/media/image85.jpg" Id="R799c3caaad984b6d" /><Relationship Type="http://schemas.openxmlformats.org/officeDocument/2006/relationships/image" Target="/xl/media/image86.jpg" Id="R2cf2022264234c53" /><Relationship Type="http://schemas.openxmlformats.org/officeDocument/2006/relationships/image" Target="/xl/media/image87.jpg" Id="Rc2b85499c04e4748" /><Relationship Type="http://schemas.openxmlformats.org/officeDocument/2006/relationships/image" Target="/xl/media/image88.jpg" Id="R44df29c911a545a3" /><Relationship Type="http://schemas.openxmlformats.org/officeDocument/2006/relationships/image" Target="/xl/media/image89.jpg" Id="Rb4d9708c95174385" /><Relationship Type="http://schemas.openxmlformats.org/officeDocument/2006/relationships/image" Target="/xl/media/image90.jpg" Id="Rb8ceee5fcfc840b4" /><Relationship Type="http://schemas.openxmlformats.org/officeDocument/2006/relationships/image" Target="/xl/media/image91.jpg" Id="R27965220c0534050" /><Relationship Type="http://schemas.openxmlformats.org/officeDocument/2006/relationships/image" Target="/xl/media/image92.jpg" Id="Rf035052784044be6" /><Relationship Type="http://schemas.openxmlformats.org/officeDocument/2006/relationships/image" Target="/xl/media/image93.jpg" Id="R9b3048c2d7f14db8" /><Relationship Type="http://schemas.openxmlformats.org/officeDocument/2006/relationships/image" Target="/xl/media/image94.jpg" Id="R3157403483084c07" /><Relationship Type="http://schemas.openxmlformats.org/officeDocument/2006/relationships/image" Target="/xl/media/image95.jpg" Id="R072d16a61e9b4d9d" /><Relationship Type="http://schemas.openxmlformats.org/officeDocument/2006/relationships/image" Target="/xl/media/image96.jpg" Id="R6e56fff6e5d848ae" /><Relationship Type="http://schemas.openxmlformats.org/officeDocument/2006/relationships/image" Target="/xl/media/image97.jpg" Id="Rcbc26e89f77944ad" /><Relationship Type="http://schemas.openxmlformats.org/officeDocument/2006/relationships/image" Target="/xl/media/image98.jpg" Id="R3b2e0e189ad74c09" /><Relationship Type="http://schemas.openxmlformats.org/officeDocument/2006/relationships/image" Target="/xl/media/image99.jpg" Id="R7c76c9b7fb21494b" /><Relationship Type="http://schemas.openxmlformats.org/officeDocument/2006/relationships/image" Target="/xl/media/image100.jpg" Id="R8a2f5379ef3342f8" /><Relationship Type="http://schemas.openxmlformats.org/officeDocument/2006/relationships/image" Target="/xl/media/image101.jpg" Id="R3a3bd4c8841f449f" /><Relationship Type="http://schemas.openxmlformats.org/officeDocument/2006/relationships/image" Target="/xl/media/image102.jpg" Id="R5457b6c923864106" /><Relationship Type="http://schemas.openxmlformats.org/officeDocument/2006/relationships/image" Target="/xl/media/image103.jpg" Id="R63a6817870dc4438" /><Relationship Type="http://schemas.openxmlformats.org/officeDocument/2006/relationships/image" Target="/xl/media/image104.jpg" Id="Ra6da34cc8401450e" /><Relationship Type="http://schemas.openxmlformats.org/officeDocument/2006/relationships/image" Target="/xl/media/image105.jpg" Id="R7e97d4cb67934829" /><Relationship Type="http://schemas.openxmlformats.org/officeDocument/2006/relationships/image" Target="/xl/media/image106.jpg" Id="R9559d91cb76a49d4" /><Relationship Type="http://schemas.openxmlformats.org/officeDocument/2006/relationships/image" Target="/xl/media/image107.jpg" Id="R3f3f2400107441ec" /><Relationship Type="http://schemas.openxmlformats.org/officeDocument/2006/relationships/image" Target="/xl/media/image108.jpg" Id="R23d79202d1dd43f6" /><Relationship Type="http://schemas.openxmlformats.org/officeDocument/2006/relationships/image" Target="/xl/media/image109.jpg" Id="Rfd5b3a24885843e6" /><Relationship Type="http://schemas.openxmlformats.org/officeDocument/2006/relationships/image" Target="/xl/media/image110.jpg" Id="R70dc7f4d8e914086" /><Relationship Type="http://schemas.openxmlformats.org/officeDocument/2006/relationships/image" Target="/xl/media/image111.jpg" Id="Re0e4dcfe67274c34" /><Relationship Type="http://schemas.openxmlformats.org/officeDocument/2006/relationships/image" Target="/xl/media/image112.jpg" Id="Rd055feb98a384750" /><Relationship Type="http://schemas.openxmlformats.org/officeDocument/2006/relationships/image" Target="/xl/media/image113.jpg" Id="Rab7bd9b2e2424877" /><Relationship Type="http://schemas.openxmlformats.org/officeDocument/2006/relationships/image" Target="/xl/media/image114.jpg" Id="R8859abef312941ec" /><Relationship Type="http://schemas.openxmlformats.org/officeDocument/2006/relationships/image" Target="/xl/media/image115.jpg" Id="Ra1d9371a11ab4005" /><Relationship Type="http://schemas.openxmlformats.org/officeDocument/2006/relationships/image" Target="/xl/media/image116.jpg" Id="R89378be8a3bd4980" /><Relationship Type="http://schemas.openxmlformats.org/officeDocument/2006/relationships/image" Target="/xl/media/image117.jpg" Id="R47f60900810f4361" /><Relationship Type="http://schemas.openxmlformats.org/officeDocument/2006/relationships/image" Target="/xl/media/image118.jpg" Id="Rc835795911c842b0" /><Relationship Type="http://schemas.openxmlformats.org/officeDocument/2006/relationships/image" Target="/xl/media/image119.jpg" Id="Rde339cbfaecd4dbf" /><Relationship Type="http://schemas.openxmlformats.org/officeDocument/2006/relationships/image" Target="/xl/media/image120.jpg" Id="Ra4fcc944ca714fde" /><Relationship Type="http://schemas.openxmlformats.org/officeDocument/2006/relationships/image" Target="/xl/media/image121.jpg" Id="R05cbaf4e821940d0" /></Relationships>
</file>

<file path=xl/drawings/drawing1.xml><?xml version="1.0" encoding="utf-8"?>
<xdr:wsDr xmlns:xdr="http://schemas.openxmlformats.org/drawingml/2006/spreadsheetDrawing">
  <xdr:oneCellAnchor>
    <xdr:from>
      <xdr:col>1</xdr:col>
      <xdr:colOff>57150</xdr:colOff>
      <xdr:row>1</xdr:row>
      <xdr:rowOff>57150</xdr:rowOff>
    </xdr:from>
    <xdr:ext cx="1285875" cy="933450"/>
    <xdr:pic>
      <xdr:nvPicPr>
        <xdr:cNvPr id="1" name="122551a7-161e-4b01-92fc-999efef5d4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962f7dd3743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</xdr:row>
      <xdr:rowOff>57150</xdr:rowOff>
    </xdr:from>
    <xdr:ext cx="1285875" cy="933450"/>
    <xdr:pic>
      <xdr:nvPicPr>
        <xdr:cNvPr id="2" name="395795b6-4b1a-4d55-be3d-9c00bf0a28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1b4259921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</xdr:row>
      <xdr:rowOff>57150</xdr:rowOff>
    </xdr:from>
    <xdr:ext cx="1285875" cy="933450"/>
    <xdr:pic>
      <xdr:nvPicPr>
        <xdr:cNvPr id="3" name="c2a7e671-1c47-4c6e-b7a6-af510b0c3e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4e9ca9e904f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</xdr:row>
      <xdr:rowOff>57150</xdr:rowOff>
    </xdr:from>
    <xdr:ext cx="1285875" cy="933450"/>
    <xdr:pic>
      <xdr:nvPicPr>
        <xdr:cNvPr id="4" name="8ddeffc6-61a9-4973-ab78-148f09029d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1a7048755d48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</xdr:row>
      <xdr:rowOff>57150</xdr:rowOff>
    </xdr:from>
    <xdr:ext cx="1285875" cy="933450"/>
    <xdr:pic>
      <xdr:nvPicPr>
        <xdr:cNvPr id="5" name="26e76312-dc8c-4ab1-b950-d8e4c7099b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7da3a2c6349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</xdr:row>
      <xdr:rowOff>57150</xdr:rowOff>
    </xdr:from>
    <xdr:ext cx="1285875" cy="933450"/>
    <xdr:pic>
      <xdr:nvPicPr>
        <xdr:cNvPr id="6" name="4ae7d75e-d1e0-4a42-9cb3-df56167938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f52d8a11c745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</xdr:row>
      <xdr:rowOff>57150</xdr:rowOff>
    </xdr:from>
    <xdr:ext cx="1285875" cy="933450"/>
    <xdr:pic>
      <xdr:nvPicPr>
        <xdr:cNvPr id="7" name="0289e49d-4bbe-4d40-9474-5c44f05497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87a03e7eea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</xdr:row>
      <xdr:rowOff>57150</xdr:rowOff>
    </xdr:from>
    <xdr:ext cx="1285875" cy="933450"/>
    <xdr:pic>
      <xdr:nvPicPr>
        <xdr:cNvPr id="8" name="bf82eb1d-f268-4900-92d8-56b8518b82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d92e86fbda4b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</xdr:row>
      <xdr:rowOff>57150</xdr:rowOff>
    </xdr:from>
    <xdr:ext cx="1285875" cy="933450"/>
    <xdr:pic>
      <xdr:nvPicPr>
        <xdr:cNvPr id="9" name="7d931dcf-87a4-48d9-a30d-760af85414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fa9ec2eb54f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</xdr:row>
      <xdr:rowOff>57150</xdr:rowOff>
    </xdr:from>
    <xdr:ext cx="1285875" cy="933450"/>
    <xdr:pic>
      <xdr:nvPicPr>
        <xdr:cNvPr id="10" name="2f3a22d0-bd67-4085-bc30-429c7f7fa1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20586e47b146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</xdr:row>
      <xdr:rowOff>57150</xdr:rowOff>
    </xdr:from>
    <xdr:ext cx="1285875" cy="933450"/>
    <xdr:pic>
      <xdr:nvPicPr>
        <xdr:cNvPr id="11" name="0753353e-c527-4c51-b7b9-d02ffd26e4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2fcf879c84c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12</xdr:row>
      <xdr:rowOff>57150</xdr:rowOff>
    </xdr:from>
    <xdr:ext cx="1285875" cy="933450"/>
    <xdr:pic>
      <xdr:nvPicPr>
        <xdr:cNvPr id="12" name="745d80c5-5f7c-4d6e-973e-c0db7a953e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fa16ccdc16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13</xdr:row>
      <xdr:rowOff>57150</xdr:rowOff>
    </xdr:from>
    <xdr:ext cx="1285875" cy="933450"/>
    <xdr:pic>
      <xdr:nvPicPr>
        <xdr:cNvPr id="13" name="3143e1ac-f6b4-46e2-a5b0-9cdd6cc48e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38e4ff15ca49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14</xdr:row>
      <xdr:rowOff>57150</xdr:rowOff>
    </xdr:from>
    <xdr:ext cx="1285875" cy="933450"/>
    <xdr:pic>
      <xdr:nvPicPr>
        <xdr:cNvPr id="14" name="98eef536-875e-4518-9ea3-51772f7d00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ddf35059dc4a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15</xdr:row>
      <xdr:rowOff>57150</xdr:rowOff>
    </xdr:from>
    <xdr:ext cx="1285875" cy="933450"/>
    <xdr:pic>
      <xdr:nvPicPr>
        <xdr:cNvPr id="15" name="bc34cd64-8516-42f5-aab2-b52f279c13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e4d86ac99c45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16</xdr:row>
      <xdr:rowOff>57150</xdr:rowOff>
    </xdr:from>
    <xdr:ext cx="1285875" cy="933450"/>
    <xdr:pic>
      <xdr:nvPicPr>
        <xdr:cNvPr id="16" name="95f5654c-bf13-4b32-817c-c555c1b56a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7d93d9742f40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17</xdr:row>
      <xdr:rowOff>57150</xdr:rowOff>
    </xdr:from>
    <xdr:ext cx="1285875" cy="933450"/>
    <xdr:pic>
      <xdr:nvPicPr>
        <xdr:cNvPr id="17" name="5550c6ae-ee8e-4ddc-8fa4-cf7f873d38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a16f7e1f246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18</xdr:row>
      <xdr:rowOff>57150</xdr:rowOff>
    </xdr:from>
    <xdr:ext cx="1285875" cy="933450"/>
    <xdr:pic>
      <xdr:nvPicPr>
        <xdr:cNvPr id="18" name="2f857a88-b7c5-4624-9fc7-7dc7b8265e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956f0b0fec4e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19</xdr:row>
      <xdr:rowOff>57150</xdr:rowOff>
    </xdr:from>
    <xdr:ext cx="1285875" cy="933450"/>
    <xdr:pic>
      <xdr:nvPicPr>
        <xdr:cNvPr id="19" name="cb6cbaa8-a859-43cd-b131-4e17ebcede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4276af11f24e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20</xdr:row>
      <xdr:rowOff>57150</xdr:rowOff>
    </xdr:from>
    <xdr:ext cx="1285875" cy="933450"/>
    <xdr:pic>
      <xdr:nvPicPr>
        <xdr:cNvPr id="20" name="677955e3-d9d4-440e-9149-6731a41ed5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64e869a8b941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21</xdr:row>
      <xdr:rowOff>57150</xdr:rowOff>
    </xdr:from>
    <xdr:ext cx="1285875" cy="933450"/>
    <xdr:pic>
      <xdr:nvPicPr>
        <xdr:cNvPr id="21" name="9ecca5d8-fd61-408a-87fc-fda57fd4bc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487003245048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22</xdr:row>
      <xdr:rowOff>57150</xdr:rowOff>
    </xdr:from>
    <xdr:ext cx="1285875" cy="933450"/>
    <xdr:pic>
      <xdr:nvPicPr>
        <xdr:cNvPr id="22" name="f35b8d91-187e-4c5f-b635-f6ea044e22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3b58dc352e46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23</xdr:row>
      <xdr:rowOff>57150</xdr:rowOff>
    </xdr:from>
    <xdr:ext cx="1285875" cy="933450"/>
    <xdr:pic>
      <xdr:nvPicPr>
        <xdr:cNvPr id="23" name="7bab4e76-79de-41b0-81d0-1d9f3d57a4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17d129186a41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24</xdr:row>
      <xdr:rowOff>57150</xdr:rowOff>
    </xdr:from>
    <xdr:ext cx="1285875" cy="933450"/>
    <xdr:pic>
      <xdr:nvPicPr>
        <xdr:cNvPr id="24" name="ed390df0-e129-44af-8ce1-17c1207f9c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e11067387445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25</xdr:row>
      <xdr:rowOff>57150</xdr:rowOff>
    </xdr:from>
    <xdr:ext cx="1285875" cy="933450"/>
    <xdr:pic>
      <xdr:nvPicPr>
        <xdr:cNvPr id="25" name="613531ec-f613-4df9-b68f-193f9031d0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6ebf2bb244b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26</xdr:row>
      <xdr:rowOff>57150</xdr:rowOff>
    </xdr:from>
    <xdr:ext cx="1285875" cy="933450"/>
    <xdr:pic>
      <xdr:nvPicPr>
        <xdr:cNvPr id="26" name="86772228-721e-45dc-9b57-bb624aa39d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55bd6470c4e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27</xdr:row>
      <xdr:rowOff>57150</xdr:rowOff>
    </xdr:from>
    <xdr:ext cx="1285875" cy="933450"/>
    <xdr:pic>
      <xdr:nvPicPr>
        <xdr:cNvPr id="27" name="f4c0f0d0-f508-43c0-a38b-1d5b06e913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d40e96dfd42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28</xdr:row>
      <xdr:rowOff>57150</xdr:rowOff>
    </xdr:from>
    <xdr:ext cx="1285875" cy="933450"/>
    <xdr:pic>
      <xdr:nvPicPr>
        <xdr:cNvPr id="28" name="618571ed-bdd4-4cdd-8847-570cf9a49f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08046f90da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29</xdr:row>
      <xdr:rowOff>57150</xdr:rowOff>
    </xdr:from>
    <xdr:ext cx="1285875" cy="933450"/>
    <xdr:pic>
      <xdr:nvPicPr>
        <xdr:cNvPr id="29" name="44f7000b-4503-4d8d-812f-aade27c66a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f28bef842b49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30</xdr:row>
      <xdr:rowOff>57150</xdr:rowOff>
    </xdr:from>
    <xdr:ext cx="1285875" cy="933450"/>
    <xdr:pic>
      <xdr:nvPicPr>
        <xdr:cNvPr id="30" name="b118bd54-47dd-40c9-8377-b32299c9db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6285514414d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31</xdr:row>
      <xdr:rowOff>57150</xdr:rowOff>
    </xdr:from>
    <xdr:ext cx="1285875" cy="933450"/>
    <xdr:pic>
      <xdr:nvPicPr>
        <xdr:cNvPr id="31" name="f95c5034-12b0-47f7-b2c4-29b80bdb46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87d09e26324f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32</xdr:row>
      <xdr:rowOff>57150</xdr:rowOff>
    </xdr:from>
    <xdr:ext cx="1285875" cy="933450"/>
    <xdr:pic>
      <xdr:nvPicPr>
        <xdr:cNvPr id="32" name="244178ae-c1bd-4efa-8879-7627ad2492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71985646d48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33</xdr:row>
      <xdr:rowOff>57150</xdr:rowOff>
    </xdr:from>
    <xdr:ext cx="1285875" cy="933450"/>
    <xdr:pic>
      <xdr:nvPicPr>
        <xdr:cNvPr id="33" name="ab2a5bfb-ea52-40f2-b3dc-47994a2b52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3e87fbddf641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34</xdr:row>
      <xdr:rowOff>57150</xdr:rowOff>
    </xdr:from>
    <xdr:ext cx="1285875" cy="933450"/>
    <xdr:pic>
      <xdr:nvPicPr>
        <xdr:cNvPr id="34" name="13a252c2-19c3-4eeb-864f-2ee28233cd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806a907afc4e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35</xdr:row>
      <xdr:rowOff>57150</xdr:rowOff>
    </xdr:from>
    <xdr:ext cx="1285875" cy="933450"/>
    <xdr:pic>
      <xdr:nvPicPr>
        <xdr:cNvPr id="35" name="454e8012-009b-4be0-98b6-e6adfdeeb1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78726139d647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36</xdr:row>
      <xdr:rowOff>57150</xdr:rowOff>
    </xdr:from>
    <xdr:ext cx="1285875" cy="933450"/>
    <xdr:pic>
      <xdr:nvPicPr>
        <xdr:cNvPr id="36" name="3301ec15-9504-4355-834a-7c9c090d83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71c320fb5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37</xdr:row>
      <xdr:rowOff>57150</xdr:rowOff>
    </xdr:from>
    <xdr:ext cx="1285875" cy="933450"/>
    <xdr:pic>
      <xdr:nvPicPr>
        <xdr:cNvPr id="37" name="9a30c26a-1c15-45e5-970c-f020cbcbf3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4d14f058db4d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38</xdr:row>
      <xdr:rowOff>57150</xdr:rowOff>
    </xdr:from>
    <xdr:ext cx="1285875" cy="933450"/>
    <xdr:pic>
      <xdr:nvPicPr>
        <xdr:cNvPr id="38" name="9bcf2cb1-5975-44f2-a2ec-73c62adb50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157de255e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39</xdr:row>
      <xdr:rowOff>57150</xdr:rowOff>
    </xdr:from>
    <xdr:ext cx="1285875" cy="933450"/>
    <xdr:pic>
      <xdr:nvPicPr>
        <xdr:cNvPr id="39" name="6b666d82-2835-4b86-adb2-2505828a49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9656fa2c45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40</xdr:row>
      <xdr:rowOff>57150</xdr:rowOff>
    </xdr:from>
    <xdr:ext cx="1285875" cy="933450"/>
    <xdr:pic>
      <xdr:nvPicPr>
        <xdr:cNvPr id="40" name="7600fbc6-4e84-431b-8ff5-98a7ed62bf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a84ee247cf40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41</xdr:row>
      <xdr:rowOff>57150</xdr:rowOff>
    </xdr:from>
    <xdr:ext cx="1285875" cy="933450"/>
    <xdr:pic>
      <xdr:nvPicPr>
        <xdr:cNvPr id="41" name="965cefab-b69c-4bc3-b922-cb17689e95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1bdbbeae6b47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42</xdr:row>
      <xdr:rowOff>57150</xdr:rowOff>
    </xdr:from>
    <xdr:ext cx="1285875" cy="933450"/>
    <xdr:pic>
      <xdr:nvPicPr>
        <xdr:cNvPr id="42" name="71f65a75-5b33-4956-8126-f3080a84bb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73ef119a747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43</xdr:row>
      <xdr:rowOff>57150</xdr:rowOff>
    </xdr:from>
    <xdr:ext cx="1285875" cy="933450"/>
    <xdr:pic>
      <xdr:nvPicPr>
        <xdr:cNvPr id="43" name="e2bede09-c095-48ea-84a8-c16233d663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eba7cb823f43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44</xdr:row>
      <xdr:rowOff>57150</xdr:rowOff>
    </xdr:from>
    <xdr:ext cx="1285875" cy="933450"/>
    <xdr:pic>
      <xdr:nvPicPr>
        <xdr:cNvPr id="44" name="4cd6a8cf-b3a4-4f4b-966b-0416bcd28e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dbd895768f4f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45</xdr:row>
      <xdr:rowOff>57150</xdr:rowOff>
    </xdr:from>
    <xdr:ext cx="1285875" cy="933450"/>
    <xdr:pic>
      <xdr:nvPicPr>
        <xdr:cNvPr id="45" name="2c388912-c587-484c-9750-e8f31d2e30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a0066538184a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46</xdr:row>
      <xdr:rowOff>57150</xdr:rowOff>
    </xdr:from>
    <xdr:ext cx="1285875" cy="933450"/>
    <xdr:pic>
      <xdr:nvPicPr>
        <xdr:cNvPr id="46" name="3fa820bb-6e4a-4ed1-aa87-3ba5c487a0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4509aa7be4c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47</xdr:row>
      <xdr:rowOff>57150</xdr:rowOff>
    </xdr:from>
    <xdr:ext cx="1285875" cy="933450"/>
    <xdr:pic>
      <xdr:nvPicPr>
        <xdr:cNvPr id="47" name="9a7f7663-d072-4300-9968-ef7198770d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200d1ecb5540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48</xdr:row>
      <xdr:rowOff>57150</xdr:rowOff>
    </xdr:from>
    <xdr:ext cx="1285875" cy="933450"/>
    <xdr:pic>
      <xdr:nvPicPr>
        <xdr:cNvPr id="48" name="cb1b58b9-c13a-45c1-bfd6-adf8862ac3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c53c1727ae40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49</xdr:row>
      <xdr:rowOff>57150</xdr:rowOff>
    </xdr:from>
    <xdr:ext cx="1285875" cy="933450"/>
    <xdr:pic>
      <xdr:nvPicPr>
        <xdr:cNvPr id="49" name="89afd4cc-c32a-48f3-b7ac-77043da2f6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7e0e2a354348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50</xdr:row>
      <xdr:rowOff>57150</xdr:rowOff>
    </xdr:from>
    <xdr:ext cx="1285875" cy="933450"/>
    <xdr:pic>
      <xdr:nvPicPr>
        <xdr:cNvPr id="50" name="fee947da-56e8-44fe-b28a-9e16129f8d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82617574044e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51</xdr:row>
      <xdr:rowOff>57150</xdr:rowOff>
    </xdr:from>
    <xdr:ext cx="1285875" cy="933450"/>
    <xdr:pic>
      <xdr:nvPicPr>
        <xdr:cNvPr id="51" name="d2f7ed12-405b-4baa-a9d1-d4aad5f541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74f6ab44c40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52</xdr:row>
      <xdr:rowOff>57150</xdr:rowOff>
    </xdr:from>
    <xdr:ext cx="1285875" cy="933450"/>
    <xdr:pic>
      <xdr:nvPicPr>
        <xdr:cNvPr id="52" name="b29f67af-14fa-4b7e-9c8a-d94551355e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0d24611db43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53</xdr:row>
      <xdr:rowOff>57150</xdr:rowOff>
    </xdr:from>
    <xdr:ext cx="1285875" cy="933450"/>
    <xdr:pic>
      <xdr:nvPicPr>
        <xdr:cNvPr id="53" name="53252686-f968-4cad-9f58-eb9deef37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92635912c9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54</xdr:row>
      <xdr:rowOff>57150</xdr:rowOff>
    </xdr:from>
    <xdr:ext cx="1285875" cy="933450"/>
    <xdr:pic>
      <xdr:nvPicPr>
        <xdr:cNvPr id="54" name="8824ab04-af21-4742-b234-2d62dc2f10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f7d1097867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55</xdr:row>
      <xdr:rowOff>57150</xdr:rowOff>
    </xdr:from>
    <xdr:ext cx="1285875" cy="933450"/>
    <xdr:pic>
      <xdr:nvPicPr>
        <xdr:cNvPr id="55" name="d7107fca-8ae3-44fd-87cc-b1bb669f05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3e25ad3140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56</xdr:row>
      <xdr:rowOff>57150</xdr:rowOff>
    </xdr:from>
    <xdr:ext cx="1285875" cy="933450"/>
    <xdr:pic>
      <xdr:nvPicPr>
        <xdr:cNvPr id="56" name="1bca70fb-7168-4868-83a1-e2588c1bda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5f730ddb7346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57</xdr:row>
      <xdr:rowOff>57150</xdr:rowOff>
    </xdr:from>
    <xdr:ext cx="1285875" cy="933450"/>
    <xdr:pic>
      <xdr:nvPicPr>
        <xdr:cNvPr id="57" name="13cb50c8-d07e-44d3-8aa8-43e90bc4f9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feab4f52404c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58</xdr:row>
      <xdr:rowOff>57150</xdr:rowOff>
    </xdr:from>
    <xdr:ext cx="1285875" cy="933450"/>
    <xdr:pic>
      <xdr:nvPicPr>
        <xdr:cNvPr id="58" name="e210ecb2-13ef-444b-bdc0-a5638d7376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41b632934d42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59</xdr:row>
      <xdr:rowOff>57150</xdr:rowOff>
    </xdr:from>
    <xdr:ext cx="1285875" cy="933450"/>
    <xdr:pic>
      <xdr:nvPicPr>
        <xdr:cNvPr id="59" name="d50e9fd5-13b0-4a8c-9cf0-5c16765b00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d8eac84f144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60</xdr:row>
      <xdr:rowOff>57150</xdr:rowOff>
    </xdr:from>
    <xdr:ext cx="1285875" cy="933450"/>
    <xdr:pic>
      <xdr:nvPicPr>
        <xdr:cNvPr id="60" name="8db3e78b-fc90-4013-862e-a521e9c41c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8bad6746b0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61</xdr:row>
      <xdr:rowOff>57150</xdr:rowOff>
    </xdr:from>
    <xdr:ext cx="1285875" cy="933450"/>
    <xdr:pic>
      <xdr:nvPicPr>
        <xdr:cNvPr id="61" name="d4f22c37-746d-432c-a7fa-0d6ad506ff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02549da344a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62</xdr:row>
      <xdr:rowOff>57150</xdr:rowOff>
    </xdr:from>
    <xdr:ext cx="1285875" cy="933450"/>
    <xdr:pic>
      <xdr:nvPicPr>
        <xdr:cNvPr id="62" name="b710fa7a-7bcd-40ac-9539-88ad133019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01c95d8632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63</xdr:row>
      <xdr:rowOff>57150</xdr:rowOff>
    </xdr:from>
    <xdr:ext cx="1285875" cy="933450"/>
    <xdr:pic>
      <xdr:nvPicPr>
        <xdr:cNvPr id="63" name="32d07bd7-842f-45ce-8eae-f17c0c30fb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98fb0b7495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64</xdr:row>
      <xdr:rowOff>57150</xdr:rowOff>
    </xdr:from>
    <xdr:ext cx="1285875" cy="933450"/>
    <xdr:pic>
      <xdr:nvPicPr>
        <xdr:cNvPr id="64" name="3ac00a0c-a42f-40a9-aee5-7683869338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9aaf3677144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65</xdr:row>
      <xdr:rowOff>57150</xdr:rowOff>
    </xdr:from>
    <xdr:ext cx="1285875" cy="933450"/>
    <xdr:pic>
      <xdr:nvPicPr>
        <xdr:cNvPr id="65" name="c0566572-b50a-4239-a4bd-d0c4ab9173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a99f19f7744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66</xdr:row>
      <xdr:rowOff>57150</xdr:rowOff>
    </xdr:from>
    <xdr:ext cx="1285875" cy="933450"/>
    <xdr:pic>
      <xdr:nvPicPr>
        <xdr:cNvPr id="66" name="e23c5786-285d-4560-b9ba-27e6581be8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95708cf5bc4c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67</xdr:row>
      <xdr:rowOff>57150</xdr:rowOff>
    </xdr:from>
    <xdr:ext cx="1285875" cy="933450"/>
    <xdr:pic>
      <xdr:nvPicPr>
        <xdr:cNvPr id="67" name="bbf27186-bf70-415a-b8ea-cc220de615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a499b7729a44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68</xdr:row>
      <xdr:rowOff>57150</xdr:rowOff>
    </xdr:from>
    <xdr:ext cx="1285875" cy="933450"/>
    <xdr:pic>
      <xdr:nvPicPr>
        <xdr:cNvPr id="68" name="c1eef3a5-e991-4cae-bedf-728a7af8a4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5c43d7062b4a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69</xdr:row>
      <xdr:rowOff>57150</xdr:rowOff>
    </xdr:from>
    <xdr:ext cx="1285875" cy="933450"/>
    <xdr:pic>
      <xdr:nvPicPr>
        <xdr:cNvPr id="69" name="940c9bc2-217e-415e-b2ee-cfa9d374b2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7b164a22f45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70</xdr:row>
      <xdr:rowOff>57150</xdr:rowOff>
    </xdr:from>
    <xdr:ext cx="1285875" cy="933450"/>
    <xdr:pic>
      <xdr:nvPicPr>
        <xdr:cNvPr id="70" name="c932c969-ff21-4166-b94c-04719f8e83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03bd18d7645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71</xdr:row>
      <xdr:rowOff>57150</xdr:rowOff>
    </xdr:from>
    <xdr:ext cx="1285875" cy="933450"/>
    <xdr:pic>
      <xdr:nvPicPr>
        <xdr:cNvPr id="71" name="49e26135-6834-41ad-bac6-e06114a97e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b9a58bb16d49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72</xdr:row>
      <xdr:rowOff>57150</xdr:rowOff>
    </xdr:from>
    <xdr:ext cx="1285875" cy="933450"/>
    <xdr:pic>
      <xdr:nvPicPr>
        <xdr:cNvPr id="72" name="f737a725-c88d-40c4-8269-f7da7dfb99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6a1feedf6a45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73</xdr:row>
      <xdr:rowOff>57150</xdr:rowOff>
    </xdr:from>
    <xdr:ext cx="1285875" cy="933450"/>
    <xdr:pic>
      <xdr:nvPicPr>
        <xdr:cNvPr id="73" name="7feba71a-922f-4274-b19d-3b8bfdf4fb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3aa2417b3048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74</xdr:row>
      <xdr:rowOff>57150</xdr:rowOff>
    </xdr:from>
    <xdr:ext cx="1285875" cy="933450"/>
    <xdr:pic>
      <xdr:nvPicPr>
        <xdr:cNvPr id="74" name="331da760-03cf-4833-b6bf-8d3eef8550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13f1370aeb49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75</xdr:row>
      <xdr:rowOff>57150</xdr:rowOff>
    </xdr:from>
    <xdr:ext cx="1285875" cy="933450"/>
    <xdr:pic>
      <xdr:nvPicPr>
        <xdr:cNvPr id="75" name="f0a7f2c6-8760-4695-a09f-915dfe03f8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ed818adb854c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76</xdr:row>
      <xdr:rowOff>57150</xdr:rowOff>
    </xdr:from>
    <xdr:ext cx="1285875" cy="933450"/>
    <xdr:pic>
      <xdr:nvPicPr>
        <xdr:cNvPr id="76" name="34ad3d91-ecb7-427d-a892-4b204a43ee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d7660581bf40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77</xdr:row>
      <xdr:rowOff>57150</xdr:rowOff>
    </xdr:from>
    <xdr:ext cx="1285875" cy="933450"/>
    <xdr:pic>
      <xdr:nvPicPr>
        <xdr:cNvPr id="77" name="c60a3ca5-8f91-4788-a168-441c2318c8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6c3c3f886647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78</xdr:row>
      <xdr:rowOff>57150</xdr:rowOff>
    </xdr:from>
    <xdr:ext cx="1285875" cy="933450"/>
    <xdr:pic>
      <xdr:nvPicPr>
        <xdr:cNvPr id="78" name="b60858b5-42f4-4702-903c-ffb1e96b8f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72b697423c48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79</xdr:row>
      <xdr:rowOff>57150</xdr:rowOff>
    </xdr:from>
    <xdr:ext cx="1285875" cy="933450"/>
    <xdr:pic>
      <xdr:nvPicPr>
        <xdr:cNvPr id="79" name="cb8cbd54-19ca-4676-a406-97a162a87e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a41a90cb248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80</xdr:row>
      <xdr:rowOff>57150</xdr:rowOff>
    </xdr:from>
    <xdr:ext cx="1285875" cy="933450"/>
    <xdr:pic>
      <xdr:nvPicPr>
        <xdr:cNvPr id="80" name="b63e191d-30b1-4b13-951a-2fbdaf5730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5f66adbf844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81</xdr:row>
      <xdr:rowOff>57150</xdr:rowOff>
    </xdr:from>
    <xdr:ext cx="1285875" cy="933450"/>
    <xdr:pic>
      <xdr:nvPicPr>
        <xdr:cNvPr id="81" name="c89d8f9c-025e-4c78-b0a4-cb53eb4c08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59623535a48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82</xdr:row>
      <xdr:rowOff>57150</xdr:rowOff>
    </xdr:from>
    <xdr:ext cx="1285875" cy="933450"/>
    <xdr:pic>
      <xdr:nvPicPr>
        <xdr:cNvPr id="82" name="c4111ac0-0ffa-400c-98db-3801f0aa2e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21a7ac23bd43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83</xdr:row>
      <xdr:rowOff>57150</xdr:rowOff>
    </xdr:from>
    <xdr:ext cx="1285875" cy="933450"/>
    <xdr:pic>
      <xdr:nvPicPr>
        <xdr:cNvPr id="83" name="f6db40c1-9e10-4b25-9204-b1599280aa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b3809ca1fa4d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84</xdr:row>
      <xdr:rowOff>57150</xdr:rowOff>
    </xdr:from>
    <xdr:ext cx="1285875" cy="933450"/>
    <xdr:pic>
      <xdr:nvPicPr>
        <xdr:cNvPr id="84" name="1a85c575-2a44-4931-9f6d-f468299b84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759ed886d94a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85</xdr:row>
      <xdr:rowOff>57150</xdr:rowOff>
    </xdr:from>
    <xdr:ext cx="1285875" cy="933450"/>
    <xdr:pic>
      <xdr:nvPicPr>
        <xdr:cNvPr id="85" name="b9bedf41-0e16-4294-8b1d-45d596f9b0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9c3caaad984b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86</xdr:row>
      <xdr:rowOff>57150</xdr:rowOff>
    </xdr:from>
    <xdr:ext cx="1285875" cy="933450"/>
    <xdr:pic>
      <xdr:nvPicPr>
        <xdr:cNvPr id="86" name="0f27c016-aecc-48d0-b8cb-c934ed6efc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f202226423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87</xdr:row>
      <xdr:rowOff>57150</xdr:rowOff>
    </xdr:from>
    <xdr:ext cx="1285875" cy="933450"/>
    <xdr:pic>
      <xdr:nvPicPr>
        <xdr:cNvPr id="87" name="2b2fcd07-9e9f-4c24-9660-78526f25a3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85499c04e47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88</xdr:row>
      <xdr:rowOff>57150</xdr:rowOff>
    </xdr:from>
    <xdr:ext cx="1285875" cy="933450"/>
    <xdr:pic>
      <xdr:nvPicPr>
        <xdr:cNvPr id="88" name="124d3b0e-be26-496e-82d1-472a6df5bf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f29c911a545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89</xdr:row>
      <xdr:rowOff>57150</xdr:rowOff>
    </xdr:from>
    <xdr:ext cx="1285875" cy="933450"/>
    <xdr:pic>
      <xdr:nvPicPr>
        <xdr:cNvPr id="89" name="3b47e628-4d35-4add-8184-b2db4cf3bc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d9708c951743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90</xdr:row>
      <xdr:rowOff>57150</xdr:rowOff>
    </xdr:from>
    <xdr:ext cx="1285875" cy="933450"/>
    <xdr:pic>
      <xdr:nvPicPr>
        <xdr:cNvPr id="90" name="799a3cff-020f-4568-b09a-d2d23a16a2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ceee5fcfc8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91</xdr:row>
      <xdr:rowOff>57150</xdr:rowOff>
    </xdr:from>
    <xdr:ext cx="1285875" cy="933450"/>
    <xdr:pic>
      <xdr:nvPicPr>
        <xdr:cNvPr id="91" name="42524671-64a9-4f31-9896-7f675104ad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965220c05340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92</xdr:row>
      <xdr:rowOff>57150</xdr:rowOff>
    </xdr:from>
    <xdr:ext cx="1285875" cy="933450"/>
    <xdr:pic>
      <xdr:nvPicPr>
        <xdr:cNvPr id="92" name="a5e74b89-4f2e-4265-9469-0a8b5912ad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35052784044b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93</xdr:row>
      <xdr:rowOff>57150</xdr:rowOff>
    </xdr:from>
    <xdr:ext cx="1285875" cy="933450"/>
    <xdr:pic>
      <xdr:nvPicPr>
        <xdr:cNvPr id="93" name="4b65dd36-08e0-49c3-9211-03301de9a4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3048c2d7f14d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94</xdr:row>
      <xdr:rowOff>57150</xdr:rowOff>
    </xdr:from>
    <xdr:ext cx="1285875" cy="933450"/>
    <xdr:pic>
      <xdr:nvPicPr>
        <xdr:cNvPr id="94" name="b0d298d2-4aa7-4e1a-b650-0bc661a254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5740348308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95</xdr:row>
      <xdr:rowOff>57150</xdr:rowOff>
    </xdr:from>
    <xdr:ext cx="1285875" cy="933450"/>
    <xdr:pic>
      <xdr:nvPicPr>
        <xdr:cNvPr id="95" name="f970b0da-87a0-4473-aa04-495cff67d1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d16a61e9b4d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96</xdr:row>
      <xdr:rowOff>57150</xdr:rowOff>
    </xdr:from>
    <xdr:ext cx="1285875" cy="933450"/>
    <xdr:pic>
      <xdr:nvPicPr>
        <xdr:cNvPr id="96" name="836541ab-3419-4e6c-a8d5-6094ace7a6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56fff6e5d848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97</xdr:row>
      <xdr:rowOff>57150</xdr:rowOff>
    </xdr:from>
    <xdr:ext cx="1285875" cy="933450"/>
    <xdr:pic>
      <xdr:nvPicPr>
        <xdr:cNvPr id="97" name="d008019f-0985-4a14-b269-7ef5280bfa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26e89f77944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98</xdr:row>
      <xdr:rowOff>57150</xdr:rowOff>
    </xdr:from>
    <xdr:ext cx="1285875" cy="933450"/>
    <xdr:pic>
      <xdr:nvPicPr>
        <xdr:cNvPr id="98" name="5937fa19-d393-4dd9-977d-9214d104bf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2e0e189ad74c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99</xdr:row>
      <xdr:rowOff>57150</xdr:rowOff>
    </xdr:from>
    <xdr:ext cx="1285875" cy="933450"/>
    <xdr:pic>
      <xdr:nvPicPr>
        <xdr:cNvPr id="99" name="9e29b3e5-95f5-4937-aa37-e554a01a58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6c9b7fb21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100</xdr:row>
      <xdr:rowOff>57150</xdr:rowOff>
    </xdr:from>
    <xdr:ext cx="1285875" cy="933450"/>
    <xdr:pic>
      <xdr:nvPicPr>
        <xdr:cNvPr id="100" name="ee8fed6a-214b-4934-a623-1c7b0a74e8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2f5379ef3342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101</xdr:row>
      <xdr:rowOff>57150</xdr:rowOff>
    </xdr:from>
    <xdr:ext cx="1285875" cy="933450"/>
    <xdr:pic>
      <xdr:nvPicPr>
        <xdr:cNvPr id="101" name="80487b62-c42f-49bb-8d30-b9a9574db9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bd4c8841f44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102</xdr:row>
      <xdr:rowOff>57150</xdr:rowOff>
    </xdr:from>
    <xdr:ext cx="1285875" cy="933450"/>
    <xdr:pic>
      <xdr:nvPicPr>
        <xdr:cNvPr id="102" name="f59000bf-869d-4035-8161-e4e5382233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57b6c9238641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103</xdr:row>
      <xdr:rowOff>57150</xdr:rowOff>
    </xdr:from>
    <xdr:ext cx="1285875" cy="933450"/>
    <xdr:pic>
      <xdr:nvPicPr>
        <xdr:cNvPr id="103" name="9087a045-ac6f-4d83-85c9-6dd3ff6c2f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a6817870dc44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104</xdr:row>
      <xdr:rowOff>57150</xdr:rowOff>
    </xdr:from>
    <xdr:ext cx="1285875" cy="933450"/>
    <xdr:pic>
      <xdr:nvPicPr>
        <xdr:cNvPr id="104" name="b341faae-f8a4-4c19-8888-1529655886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da34cc840145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105</xdr:row>
      <xdr:rowOff>57150</xdr:rowOff>
    </xdr:from>
    <xdr:ext cx="1285875" cy="933450"/>
    <xdr:pic>
      <xdr:nvPicPr>
        <xdr:cNvPr id="105" name="826ad21d-3393-4a64-a47a-02dbb50e57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97d4cb679348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106</xdr:row>
      <xdr:rowOff>57150</xdr:rowOff>
    </xdr:from>
    <xdr:ext cx="1285875" cy="933450"/>
    <xdr:pic>
      <xdr:nvPicPr>
        <xdr:cNvPr id="106" name="cd16767a-137c-4ed5-aadb-9b52d14510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59d91cb76a49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107</xdr:row>
      <xdr:rowOff>57150</xdr:rowOff>
    </xdr:from>
    <xdr:ext cx="1285875" cy="933450"/>
    <xdr:pic>
      <xdr:nvPicPr>
        <xdr:cNvPr id="107" name="0d6831b3-9008-45dd-a40d-c37da529dc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3f2400107441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108</xdr:row>
      <xdr:rowOff>57150</xdr:rowOff>
    </xdr:from>
    <xdr:ext cx="1285875" cy="933450"/>
    <xdr:pic>
      <xdr:nvPicPr>
        <xdr:cNvPr id="108" name="90657b6e-4251-4ae6-9488-ba59514f02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79202d1dd43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109</xdr:row>
      <xdr:rowOff>57150</xdr:rowOff>
    </xdr:from>
    <xdr:ext cx="1285875" cy="933450"/>
    <xdr:pic>
      <xdr:nvPicPr>
        <xdr:cNvPr id="109" name="f27861b8-c1c2-4c97-8ef7-2a9b142ffc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5b3a24885843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110</xdr:row>
      <xdr:rowOff>57150</xdr:rowOff>
    </xdr:from>
    <xdr:ext cx="1285875" cy="933450"/>
    <xdr:pic>
      <xdr:nvPicPr>
        <xdr:cNvPr id="110" name="59986a07-249f-4a5a-831f-fc13cc14ef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dc7f4d8e9140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111</xdr:row>
      <xdr:rowOff>57150</xdr:rowOff>
    </xdr:from>
    <xdr:ext cx="1285875" cy="933450"/>
    <xdr:pic>
      <xdr:nvPicPr>
        <xdr:cNvPr id="111" name="3ab6f1d9-eda1-4ff9-a8b2-f382c66e06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e4dcfe67274c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112</xdr:row>
      <xdr:rowOff>57150</xdr:rowOff>
    </xdr:from>
    <xdr:ext cx="1285875" cy="933450"/>
    <xdr:pic>
      <xdr:nvPicPr>
        <xdr:cNvPr id="112" name="8a95b13a-9e6b-4a65-992b-b1f0b7f061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55feb98a3847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113</xdr:row>
      <xdr:rowOff>57150</xdr:rowOff>
    </xdr:from>
    <xdr:ext cx="1285875" cy="933450"/>
    <xdr:pic>
      <xdr:nvPicPr>
        <xdr:cNvPr id="113" name="4b9b8a09-b69e-4704-8e9c-f6bb2e4c0a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7bd9b2e242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114</xdr:row>
      <xdr:rowOff>57150</xdr:rowOff>
    </xdr:from>
    <xdr:ext cx="1285875" cy="933450"/>
    <xdr:pic>
      <xdr:nvPicPr>
        <xdr:cNvPr id="114" name="7b764a25-de53-4287-b65f-10561ea6fb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59abef312941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115</xdr:row>
      <xdr:rowOff>57150</xdr:rowOff>
    </xdr:from>
    <xdr:ext cx="1285875" cy="933450"/>
    <xdr:pic>
      <xdr:nvPicPr>
        <xdr:cNvPr id="115" name="d1b41843-8c08-4f0f-b32c-d3d2bbc237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d9371a11ab40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116</xdr:row>
      <xdr:rowOff>57150</xdr:rowOff>
    </xdr:from>
    <xdr:ext cx="1285875" cy="933450"/>
    <xdr:pic>
      <xdr:nvPicPr>
        <xdr:cNvPr id="116" name="476a98c9-06ed-4478-93c9-8ec8684dfa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78be8a3bd49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117</xdr:row>
      <xdr:rowOff>57150</xdr:rowOff>
    </xdr:from>
    <xdr:ext cx="1285875" cy="933450"/>
    <xdr:pic>
      <xdr:nvPicPr>
        <xdr:cNvPr id="117" name="c9fa9404-0d38-42f7-a303-bd90dedc38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f60900810f43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118</xdr:row>
      <xdr:rowOff>57150</xdr:rowOff>
    </xdr:from>
    <xdr:ext cx="1285875" cy="933450"/>
    <xdr:pic>
      <xdr:nvPicPr>
        <xdr:cNvPr id="118" name="0ccd3cff-57e1-410a-b8c0-cdecc81b47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5795911c842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119</xdr:row>
      <xdr:rowOff>57150</xdr:rowOff>
    </xdr:from>
    <xdr:ext cx="1285875" cy="933450"/>
    <xdr:pic>
      <xdr:nvPicPr>
        <xdr:cNvPr id="119" name="65d51fef-d413-4d20-85e3-58c9989410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339cbfaecd4d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120</xdr:row>
      <xdr:rowOff>57150</xdr:rowOff>
    </xdr:from>
    <xdr:ext cx="1285875" cy="933450"/>
    <xdr:pic>
      <xdr:nvPicPr>
        <xdr:cNvPr id="120" name="c56e8b0f-42d8-4755-95cc-7ffd176df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fcc944ca714f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121</xdr:row>
      <xdr:rowOff>57150</xdr:rowOff>
    </xdr:from>
    <xdr:ext cx="1285875" cy="933450"/>
    <xdr:pic>
      <xdr:nvPicPr>
        <xdr:cNvPr id="121" name="7d3c7375-2e99-4326-83b4-184f5e736b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cbaf4e821940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ictureDetailsTable" displayName="PictureDetailsTable" ref="A1:AP122" headerRowCount="1" totalsRowCount="0" totalsRowShown="0">
  <x:tableColumns count="42">
    <x:tableColumn id="1" name="student_id"/>
    <x:tableColumn id="2" name="activity_id"/>
    <x:tableColumn id="3" name="normalized_filename"/>
    <x:tableColumn id="4" name="image_path"/>
    <x:tableColumn id="5" name="source_filename"/>
    <x:tableColumn id="6" name="image_width_px"/>
    <x:tableColumn id="7" name="image_height_px"/>
    <x:tableColumn id="8" name="aspect_ratio"/>
    <x:tableColumn id="9" name="orientation"/>
    <x:tableColumn id="10" name="file_size_kb"/>
    <x:tableColumn id="11" name="interpreted_subject"/>
    <x:tableColumn id="12" name="colors_observed"/>
    <x:tableColumn id="13" name="dominant_colors_visual"/>
    <x:tableColumn id="14" name="approx_color_count"/>
    <x:tableColumn id="15" name="observable_elements"/>
    <x:tableColumn id="16" name="transformation_type"/>
    <x:tableColumn id="17" name="elaboration_evidence"/>
    <x:tableColumn id="18" name="idea_variety_observed"/>
    <x:tableColumn id="19" name="within_sample_distinctiveness_note"/>
    <x:tableColumn id="20" name="color_usage_note"/>
    <x:tableColumn id="21" name="personalized_activity_suggestion"/>
    <x:tableColumn id="22" name="child_explanation"/>
    <x:tableColumn id="23" name="teacher_observation"/>
    <x:tableColumn id="24" name="emotion_label"/>
    <x:tableColumn id="25" name="prelim_originality_1to5"/>
    <x:tableColumn id="26" name="prelim_elaboration_1to5"/>
    <x:tableColumn id="27" name="prelim_imagination_1to5"/>
    <x:tableColumn id="28" name="prelim_flexibility_proxy_1to5"/>
    <x:tableColumn id="29" name="creativity_total"/>
    <x:tableColumn id="30" name="creativity_mean"/>
    <x:tableColumn id="31" name="creativity_level"/>
    <x:tableColumn id="32" name="assistant_analysis_note"/>
    <x:tableColumn id="33" name="assistant_score_status"/>
    <x:tableColumn id="34" name="source_note"/>
    <x:tableColumn id="35" name="train_split"/>
    <x:tableColumn id="36" name="human_originality_1to5"/>
    <x:tableColumn id="37" name="human_elaboration_1to5"/>
    <x:tableColumn id="38" name="human_imagination_1to5"/>
    <x:tableColumn id="39" name="human_flexibility_1to5"/>
    <x:tableColumn id="40" name="second_rater_scores"/>
    <x:tableColumn id="41" name="final_label_status"/>
    <x:tableColumn id="42" name="model_ready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TrainingTable" displayName="ModelTrainingTable" ref="A1:O122" headerRowCount="1" totalsRowCount="0" totalsRowShown="0">
  <x:tableColumns count="15">
    <x:tableColumn id="1" name="student_id"/>
    <x:tableColumn id="2" name="activity_id"/>
    <x:tableColumn id="3" name="filename"/>
    <x:tableColumn id="4" name="image_path"/>
    <x:tableColumn id="5" name="originality"/>
    <x:tableColumn id="6" name="elaboration"/>
    <x:tableColumn id="7" name="imagination"/>
    <x:tableColumn id="8" name="flexibility"/>
    <x:tableColumn id="9" name="creativity_total"/>
    <x:tableColumn id="10" name="creativity_mean"/>
    <x:tableColumn id="11" name="split"/>
    <x:tableColumn id="12" name="interpreted_subject"/>
    <x:tableColumn id="13" name="transformation_type"/>
    <x:tableColumn id="14" name="label_source"/>
    <x:tableColumn id="15" name="label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c40751e5743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839404f62e45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3d3903e7aed4a91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0" t="str">
        <x:v>PC01 Picture Completion Dataset — Full Analysis Workbook</x:v>
      </x:c>
      <x:c r="B1" s="50"/>
      <x:c r="C1" s="50"/>
      <x:c r="D1" s="50"/>
      <x:c r="E1" s="50"/>
      <x:c r="F1" s="50"/>
      <x:c r="G1" s="50"/>
      <x:c r="H1" s="50"/>
    </x:row>
    <x:row r="2">
      <x:c r="A2" s="50"/>
      <x:c r="B2" s="50"/>
      <x:c r="C2" s="50"/>
      <x:c r="D2" s="50"/>
      <x:c r="E2" s="50"/>
      <x:c r="F2" s="50"/>
      <x:c r="G2" s="50"/>
      <x:c r="H2" s="50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16" t="str">
        <x:v>Dataset item</x:v>
      </x:c>
      <x:c r="B4" s="16" t="str">
        <x:v>Value</x:v>
      </x:c>
      <x:c r="C4" s="17"/>
      <x:c r="D4" s="16" t="str">
        <x:v>Score summary</x:v>
      </x:c>
      <x:c r="E4" s="16" t="str">
        <x:v>Originality</x:v>
      </x:c>
      <x:c r="F4" s="16" t="str">
        <x:v>Elaboration</x:v>
      </x:c>
      <x:c r="G4" s="16" t="str">
        <x:v>Imagination</x:v>
      </x:c>
      <x:c r="H4" s="16" t="str">
        <x:v>Flexibility</x:v>
      </x:c>
    </x:row>
    <x:row r="5">
      <x:c r="A5" s="51" t="str">
        <x:v>Activity</x:v>
      </x:c>
      <x:c r="B5" s="17" t="str">
        <x:v>PC01 — Picture Completion</x:v>
      </x:c>
      <x:c r="C5" s="17"/>
      <x:c r="D5" s="51" t="str">
        <x:v>Mean</x:v>
      </x:c>
      <x:c r="E5" s="18" t="n">
        <x:f>AVERAGE('Picture Details'!Y2:Y122)</x:f>
        <x:v>3.834710743801653</x:v>
      </x:c>
      <x:c r="F5" s="18" t="n">
        <x:f>AVERAGE('Picture Details'!Z2:Z122)</x:f>
        <x:v>3.884297520661157</x:v>
      </x:c>
      <x:c r="G5" s="18" t="n">
        <x:f>AVERAGE('Picture Details'!AA2:AA122)</x:f>
        <x:v>3.87603305785124</x:v>
      </x:c>
      <x:c r="H5" s="18" t="n">
        <x:f>AVERAGE('Picture Details'!AB2:AB122)</x:f>
        <x:v>3.28099173553719</x:v>
      </x:c>
    </x:row>
    <x:row r="6">
      <x:c r="A6" s="51" t="str">
        <x:v>Total drawings</x:v>
      </x:c>
      <x:c r="B6" s="17" t="n">
        <x:f>COUNTA('Picture Details'!A2:A122)</x:f>
        <x:v>121</x:v>
      </x:c>
      <x:c r="C6" s="17"/>
      <x:c r="D6" s="51" t="str">
        <x:v>Minimum</x:v>
      </x:c>
      <x:c r="E6" s="17" t="n">
        <x:f>MIN('Picture Details'!Y2:Y122)</x:f>
        <x:v>2</x:v>
      </x:c>
      <x:c r="F6" s="17" t="n">
        <x:f>MIN('Picture Details'!Z2:Z122)</x:f>
        <x:v>2</x:v>
      </x:c>
      <x:c r="G6" s="17" t="n">
        <x:f>MIN('Picture Details'!AA2:AA122)</x:f>
        <x:v>2</x:v>
      </x:c>
      <x:c r="H6" s="17" t="n">
        <x:f>MIN('Picture Details'!AB2:AB122)</x:f>
        <x:v>2</x:v>
      </x:c>
    </x:row>
    <x:row r="7">
      <x:c r="A7" s="51" t="str">
        <x:v>Train drawings</x:v>
      </x:c>
      <x:c r="B7" s="17" t="n">
        <x:f>COUNTIF('Picture Details'!AI2:AI122,"train")</x:f>
        <x:v>85</x:v>
      </x:c>
      <x:c r="C7" s="17"/>
      <x:c r="D7" s="51" t="str">
        <x:v>Maximum</x:v>
      </x:c>
      <x:c r="E7" s="17" t="n">
        <x:f>MAX('Picture Details'!Y2:Y122)</x:f>
        <x:v>5</x:v>
      </x:c>
      <x:c r="F7" s="17" t="n">
        <x:f>MAX('Picture Details'!Z2:Z122)</x:f>
        <x:v>5</x:v>
      </x:c>
      <x:c r="G7" s="17" t="n">
        <x:f>MAX('Picture Details'!AA2:AA122)</x:f>
        <x:v>5</x:v>
      </x:c>
      <x:c r="H7" s="17" t="n">
        <x:f>MAX('Picture Details'!AB2:AB122)</x:f>
        <x:v>5</x:v>
      </x:c>
    </x:row>
    <x:row r="8">
      <x:c r="A8" s="51" t="str">
        <x:v>Validation drawings</x:v>
      </x:c>
      <x:c r="B8" s="17" t="n">
        <x:f>COUNTIF('Picture Details'!AI2:AI122,"validation")</x:f>
        <x:v>18</x:v>
      </x:c>
      <x:c r="C8" s="17"/>
      <x:c r="D8" s="51" t="str">
        <x:v>Human-validated count</x:v>
      </x:c>
      <x:c r="E8" s="17" t="n">
        <x:f>COUNT('Picture Details'!AJ2:AJ122)</x:f>
        <x:v>0</x:v>
      </x:c>
      <x:c r="F8" s="17" t="n">
        <x:f>COUNT('Picture Details'!AK2:AK122)</x:f>
        <x:v>0</x:v>
      </x:c>
      <x:c r="G8" s="17" t="n">
        <x:f>COUNT('Picture Details'!AL2:AL122)</x:f>
        <x:v>0</x:v>
      </x:c>
      <x:c r="H8" s="17" t="n">
        <x:f>COUNT('Picture Details'!AM2:AM122)</x:f>
        <x:v>0</x:v>
      </x:c>
    </x:row>
    <x:row r="9">
      <x:c r="A9" s="51" t="str">
        <x:v>Test drawings</x:v>
      </x:c>
      <x:c r="B9" s="17" t="n">
        <x:f>COUNTIF('Picture Details'!AI2:AI122,"test")</x:f>
        <x:v>18</x:v>
      </x:c>
      <x:c r="C9" s="17"/>
      <x:c r="D9" s="51" t="str">
        <x:v>Preliminary label note</x:v>
      </x:c>
      <x:c r="E9" s="17" t="str">
        <x:v>Prototype only</x:v>
      </x:c>
      <x:c r="F9" s="17" t="str">
        <x:v>Prototype only</x:v>
      </x:c>
      <x:c r="G9" s="17" t="str">
        <x:v>Prototype only</x:v>
      </x:c>
      <x:c r="H9" s="17" t="str">
        <x:v>Single-image proxy</x:v>
      </x:c>
    </x:row>
    <x:row r="10">
      <x:c r="A10" s="51" t="str">
        <x:v>Score scale</x:v>
      </x:c>
      <x:c r="B10" s="17" t="str">
        <x:v>1–5</x:v>
      </x:c>
      <x:c r="C10" s="17"/>
      <x:c r="D10" s="17"/>
      <x:c r="E10" s="17"/>
      <x:c r="F10" s="17"/>
      <x:c r="G10" s="17"/>
      <x:c r="H10" s="17"/>
    </x:row>
    <x:row r="11">
      <x:c r="A11" s="51" t="str">
        <x:v>Target dimensions</x:v>
      </x:c>
      <x:c r="B11" s="17" t="str">
        <x:v>Originality, Elaboration, Imagination, Flexibility</x:v>
      </x:c>
      <x:c r="C11" s="17"/>
      <x:c r="D11" s="17"/>
      <x:c r="E11" s="17"/>
      <x:c r="F11" s="17"/>
      <x:c r="G11" s="17"/>
      <x:c r="H11" s="17"/>
    </x:row>
    <x:row r="12">
      <x:c r="A12" s="51" t="str">
        <x:v>Ground-truth status</x:v>
      </x:c>
      <x:c r="B12" s="17" t="str">
        <x:v>Current scores are preliminary visual-review labels; human validation is required for final research use.</x:v>
      </x:c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50" t="str">
        <x:v>How to use this workbook</x:v>
      </x:c>
      <x:c r="B14" s="50"/>
      <x:c r="C14" s="50"/>
      <x:c r="D14" s="50"/>
      <x:c r="E14" s="50"/>
      <x:c r="F14" s="50"/>
      <x:c r="G14" s="50"/>
      <x:c r="H14" s="50"/>
    </x:row>
    <x:row r="15">
      <x:c r="A15" s="51" t="str">
        <x:v>1</x:v>
      </x:c>
      <x:c r="B15" s="24" t="str">
        <x:v>Picture Details</x:v>
      </x:c>
      <x:c r="C15" s="24" t="str">
        <x:v>Contains the complete row-level analysis and objective image metadata for every drawing.</x:v>
      </x:c>
      <x:c r="D15" s="24"/>
      <x:c r="E15" s="24"/>
      <x:c r="F15" s="24"/>
      <x:c r="G15" s="24"/>
      <x:c r="H15" s="24"/>
    </x:row>
    <x:row r="16">
      <x:c r="A16" s="51" t="str">
        <x:v>2</x:v>
      </x:c>
      <x:c r="B16" s="24" t="str">
        <x:v>Image Gallery</x:v>
      </x:c>
      <x:c r="C16" s="24" t="str">
        <x:v>Shows every original drawing beside key interpretation and score information.</x:v>
      </x:c>
      <x:c r="D16" s="24"/>
      <x:c r="E16" s="24"/>
      <x:c r="F16" s="24"/>
      <x:c r="G16" s="24"/>
      <x:c r="H16" s="24"/>
    </x:row>
    <x:row r="17">
      <x:c r="A17" s="51" t="str">
        <x:v>3</x:v>
      </x:c>
      <x:c r="B17" s="24" t="str">
        <x:v>Model Training</x:v>
      </x:c>
      <x:c r="C17" s="24" t="str">
        <x:v>Compact dataset suitable for a prototype CNN/regression pipeline.</x:v>
      </x:c>
      <x:c r="D17" s="24"/>
      <x:c r="E17" s="24"/>
      <x:c r="F17" s="24"/>
      <x:c r="G17" s="24"/>
      <x:c r="H17" s="24"/>
    </x:row>
    <x:row r="18">
      <x:c r="A18" s="51" t="str">
        <x:v>4</x:v>
      </x:c>
      <x:c r="B18" s="24" t="str">
        <x:v>Scoring &amp; Validation</x:v>
      </x:c>
      <x:c r="C18" s="24" t="str">
        <x:v>Explains the fields and how human raters should validate final ground-truth labels.</x:v>
      </x:c>
      <x:c r="D18" s="24"/>
      <x:c r="E18" s="24"/>
      <x:c r="F18" s="24"/>
      <x:c r="G18" s="24"/>
      <x:c r="H18" s="24"/>
    </x:row>
    <x:row r="19">
      <x:c r="A19" s="51" t="str">
        <x:v>Important</x:v>
      </x:c>
      <x:c r="B19" s="24" t="str">
        <x:v>Do not present the preliminary AI-assisted scores as validated psychological or educational assessment scores.</x:v>
      </x:c>
      <x:c r="C19" s="24"/>
      <x:c r="D19" s="24"/>
      <x:c r="E19" s="24"/>
      <x:c r="F19" s="24"/>
      <x:c r="G19" s="24"/>
      <x:c r="H19" s="24"/>
    </x:row>
    <x:row r="20">
      <x:c r="A20" s="51" t="str">
        <x:v>Recommended next step</x:v>
      </x:c>
      <x:c r="B20" s="24" t="str">
        <x:v>Have at least two trained human raters independently score the drawings using a literature/expert-validated rubric, then assess inter-rater agreement.</x:v>
      </x:c>
      <x:c r="C20" s="24"/>
      <x:c r="D20" s="24"/>
      <x:c r="E20" s="24"/>
      <x:c r="F20" s="24"/>
      <x:c r="G20" s="24"/>
      <x:c r="H20" s="24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35" hidden="0" customWidth="1"/>
    <x:col min="5" max="5" width="24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24" hidden="0" customWidth="1"/>
    <x:col min="12" max="12" width="22" hidden="0" customWidth="1"/>
    <x:col min="13" max="13" width="22" hidden="0" customWidth="1"/>
    <x:col min="14" max="14" width="12" hidden="0" customWidth="1"/>
    <x:col min="15" max="15" width="42" hidden="0" customWidth="1"/>
    <x:col min="16" max="16" width="25" hidden="0" customWidth="1"/>
    <x:col min="17" max="17" width="35" hidden="0" customWidth="1"/>
    <x:col min="18" max="18" width="24" hidden="0" customWidth="1"/>
    <x:col min="19" max="19" width="38" hidden="0" customWidth="1"/>
    <x:col min="20" max="20" width="34" hidden="0" customWidth="1"/>
    <x:col min="21" max="21" width="40" hidden="0" customWidth="1"/>
    <x:col min="22" max="22" width="24" hidden="0" customWidth="1"/>
    <x:col min="23" max="23" width="24" hidden="0" customWidth="1"/>
    <x:col min="24" max="24" width="16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4" hidden="0" customWidth="1"/>
    <x:col min="30" max="30" width="14" hidden="0" customWidth="1"/>
    <x:col min="31" max="31" width="14" hidden="0" customWidth="1"/>
    <x:col min="32" max="32" width="55" hidden="0" customWidth="1"/>
    <x:col min="33" max="33" width="22" hidden="0" customWidth="1"/>
    <x:col min="34" max="34" width="22" hidden="0" customWidth="1"/>
    <x:col min="35" max="35" width="12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22" hidden="0" customWidth="1"/>
    <x:col min="41" max="41" width="23" hidden="0" customWidth="1"/>
    <x:col min="42" max="42" width="33" hidden="0" customWidth="1"/>
  </x:cols>
  <x:sheetData>
    <x:row r="1" ht="52" customHeight="1">
      <x:c r="A1" s="16" t="str">
        <x:v>student_id</x:v>
      </x:c>
      <x:c r="B1" s="16" t="str">
        <x:v>activity_id</x:v>
      </x:c>
      <x:c r="C1" s="16" t="str">
        <x:v>normalized_filename</x:v>
      </x:c>
      <x:c r="D1" s="16" t="str">
        <x:v>image_path</x:v>
      </x:c>
      <x:c r="E1" s="16" t="str">
        <x:v>source_filename</x:v>
      </x:c>
      <x:c r="F1" s="16" t="str">
        <x:v>image_width_px</x:v>
      </x:c>
      <x:c r="G1" s="16" t="str">
        <x:v>image_height_px</x:v>
      </x:c>
      <x:c r="H1" s="16" t="str">
        <x:v>aspect_ratio</x:v>
      </x:c>
      <x:c r="I1" s="16" t="str">
        <x:v>orientation</x:v>
      </x:c>
      <x:c r="J1" s="16" t="str">
        <x:v>file_size_kb</x:v>
      </x:c>
      <x:c r="K1" s="16" t="str">
        <x:v>interpreted_subject</x:v>
      </x:c>
      <x:c r="L1" s="16" t="str">
        <x:v>colors_observed</x:v>
      </x:c>
      <x:c r="M1" s="16" t="str">
        <x:v>dominant_colors_visual</x:v>
      </x:c>
      <x:c r="N1" s="16" t="str">
        <x:v>approx_color_count</x:v>
      </x:c>
      <x:c r="O1" s="16" t="str">
        <x:v>observable_elements</x:v>
      </x:c>
      <x:c r="P1" s="16" t="str">
        <x:v>transformation_type</x:v>
      </x:c>
      <x:c r="Q1" s="16" t="str">
        <x:v>elaboration_evidence</x:v>
      </x:c>
      <x:c r="R1" s="16" t="str">
        <x:v>idea_variety_observed</x:v>
      </x:c>
      <x:c r="S1" s="16" t="str">
        <x:v>within_sample_distinctiveness_note</x:v>
      </x:c>
      <x:c r="T1" s="16" t="str">
        <x:v>color_usage_note</x:v>
      </x:c>
      <x:c r="U1" s="16" t="str">
        <x:v>personalized_activity_suggestion</x:v>
      </x:c>
      <x:c r="V1" s="16" t="str">
        <x:v>child_explanation</x:v>
      </x:c>
      <x:c r="W1" s="16" t="str">
        <x:v>teacher_observation</x:v>
      </x:c>
      <x:c r="X1" s="16" t="str">
        <x:v>emotion_label</x:v>
      </x:c>
      <x:c r="Y1" s="16" t="str">
        <x:v>prelim_originality_1to5</x:v>
      </x:c>
      <x:c r="Z1" s="16" t="str">
        <x:v>prelim_elaboration_1to5</x:v>
      </x:c>
      <x:c r="AA1" s="16" t="str">
        <x:v>prelim_imagination_1to5</x:v>
      </x:c>
      <x:c r="AB1" s="16" t="str">
        <x:v>prelim_flexibility_proxy_1to5</x:v>
      </x:c>
      <x:c r="AC1" s="16" t="str">
        <x:v>creativity_total</x:v>
      </x:c>
      <x:c r="AD1" s="16" t="str">
        <x:v>creativity_mean</x:v>
      </x:c>
      <x:c r="AE1" s="16" t="str">
        <x:v>creativity_level</x:v>
      </x:c>
      <x:c r="AF1" s="16" t="str">
        <x:v>assistant_analysis_note</x:v>
      </x:c>
      <x:c r="AG1" s="16" t="str">
        <x:v>assistant_score_status</x:v>
      </x:c>
      <x:c r="AH1" s="16" t="str">
        <x:v>source_note</x:v>
      </x:c>
      <x:c r="AI1" s="16" t="str">
        <x:v>train_split</x:v>
      </x:c>
      <x:c r="AJ1" s="16" t="str">
        <x:v>human_originality_1to5</x:v>
      </x:c>
      <x:c r="AK1" s="16" t="str">
        <x:v>human_elaboration_1to5</x:v>
      </x:c>
      <x:c r="AL1" s="16" t="str">
        <x:v>human_imagination_1to5</x:v>
      </x:c>
      <x:c r="AM1" s="16" t="str">
        <x:v>human_flexibility_1to5</x:v>
      </x:c>
      <x:c r="AN1" s="16" t="str">
        <x:v>second_rater_scores</x:v>
      </x:c>
      <x:c r="AO1" s="16" t="str">
        <x:v>final_label_status</x:v>
      </x:c>
      <x:c r="AP1" s="16" t="str">
        <x:v>model_ready_status</x:v>
      </x:c>
    </x:row>
    <x:row r="2" ht="34" customHeight="1">
      <x:c r="A2" s="24" t="str">
        <x:v>S001</x:v>
      </x:c>
      <x:c r="B2" s="24" t="str">
        <x:v>PC01</x:v>
      </x:c>
      <x:c r="C2" s="24" t="str">
        <x:v>S001_PC01.jpeg</x:v>
      </x:c>
      <x:c r="D2" s="24" t="str">
        <x:v>images/picture_completion/S001_PC01.jpeg</x:v>
      </x:c>
      <x:c r="E2" s="24" t="str">
        <x:v>S001_PC01(1).jpeg</x:v>
      </x:c>
      <x:c r="F2" s="24" t="n">
        <x:v>1058</x:v>
      </x:c>
      <x:c r="G2" s="24" t="n">
        <x:v>1599</x:v>
      </x:c>
      <x:c r="H2" s="25" t="n">
        <x:f>IF(G2=0,"",F2/G2)</x:f>
        <x:v>0.6616635397123202</x:v>
      </x:c>
      <x:c r="I2" s="24" t="str">
        <x:v>portrait</x:v>
      </x:c>
      <x:c r="J2" s="26" t="n">
        <x:v>132.8</x:v>
      </x:c>
      <x:c r="K2" s="24" t="str">
        <x:v>Rabbit-like animal</x:v>
      </x:c>
      <x:c r="L2" s="24" t="str">
        <x:v>brown</x:v>
      </x:c>
      <x:c r="M2" s="24" t="str">
        <x:v>brown</x:v>
      </x:c>
      <x:c r="N2" s="24" t="n">
        <x:v>1</x:v>
      </x:c>
      <x:c r="O2" s="24" t="str">
        <x:v>Circle used as body; head, long ears, eyes, nose and limbs added</x:v>
      </x:c>
      <x:c r="P2" s="24" t="str">
        <x:v>animal transformation</x:v>
      </x:c>
      <x:c r="Q2" s="24" t="str">
        <x:v>head, ears, face, legs</x:v>
      </x:c>
      <x:c r="R2" s="24" t="str">
        <x:v>One main idea</x:v>
      </x:c>
      <x:c r="S2" s="24" t="str">
        <x:v>Uncommon within this 10-image set</x:v>
      </x:c>
      <x:c r="T2" s="24" t="str">
        <x:v>Single main hue; substantial crayon coverage</x:v>
      </x:c>
      <x:c r="U2" s="24" t="str">
        <x:v>Ask child to describe animal and invent another use for the circle</x:v>
      </x:c>
      <x:c r="V2" s="24"/>
      <x:c r="W2" s="24"/>
      <x:c r="X2" s="24" t="str">
        <x:v>unassigned</x:v>
      </x:c>
      <x:c r="Y2" s="24" t="n">
        <x:v>5</x:v>
      </x:c>
      <x:c r="Z2" s="24" t="n">
        <x:v>4</x:v>
      </x:c>
      <x:c r="AA2" s="24" t="n">
        <x:v>4</x:v>
      </x:c>
      <x:c r="AB2" s="24" t="n">
        <x:v>3</x:v>
      </x:c>
      <x:c r="AC2" s="24" t="n">
        <x:f>SUM(Y2:AB2)</x:f>
        <x:v>16</x:v>
      </x:c>
      <x:c r="AD2" s="25" t="n">
        <x:f>AVERAGE(Y2:AB2)</x:f>
        <x:v>4</x:v>
      </x:c>
      <x:c r="AE2" s="24" t="str">
        <x:f>IF(AD2&gt;=4.5,"Very High",IF(AD2&gt;=3.5,"High",IF(AD2&gt;=2.5,"Moderate",IF(AD2&gt;=1.5,"Developing","Low"))))</x:f>
        <x:v>High</x:v>
      </x:c>
      <x:c r="AF2" s="24" t="str">
        <x:v>Highly distinctive within this sample: the circle is transformed into a rabbit-like animal. Several meaningful additions (head, long ears, face and limbs). Flexibility score is only a single-picture proxy.</x:v>
      </x:c>
      <x:c r="AG2" s="24" t="str">
        <x:v>PRELIMINARY_ONLY</x:v>
      </x:c>
      <x:c r="AH2" s="24" t="str">
        <x:v>Visual review of user-uploaded drawing; color categories and counts approximate, not pixel measurements</x:v>
      </x:c>
      <x:c r="AI2" s="24" t="str">
        <x:v>validation</x:v>
      </x:c>
      <x:c r="AJ2" s="24"/>
      <x:c r="AK2" s="24"/>
      <x:c r="AL2" s="24"/>
      <x:c r="AM2" s="24"/>
      <x:c r="AN2" s="24"/>
      <x:c r="AO2" s="24" t="str">
        <x:v>descriptive_only_needs_human_scoring</x:v>
      </x:c>
      <x:c r="AP2" s="24" t="str">
        <x:f>IF(COUNT(AJ2:AM2)=4,"FINAL HUMAN-LABEL READY","PROTOTYPE ONLY - HUMAN VALIDATION REQUIRED")</x:f>
        <x:v>PROTOTYPE ONLY - HUMAN VALIDATION REQUIRED</x:v>
      </x:c>
    </x:row>
    <x:row r="3" ht="34" customHeight="1">
      <x:c r="A3" s="24" t="str">
        <x:v>S002</x:v>
      </x:c>
      <x:c r="B3" s="24" t="str">
        <x:v>PC01</x:v>
      </x:c>
      <x:c r="C3" s="24" t="str">
        <x:v>S002_PC01.jpeg</x:v>
      </x:c>
      <x:c r="D3" s="24" t="str">
        <x:v>images/picture_completion/S002_PC01.jpeg</x:v>
      </x:c>
      <x:c r="E3" s="24" t="str">
        <x:v>S002_PC01(1).jpeg</x:v>
      </x:c>
      <x:c r="F3" s="24" t="n">
        <x:v>900</x:v>
      </x:c>
      <x:c r="G3" s="24" t="n">
        <x:v>1600</x:v>
      </x:c>
      <x:c r="H3" s="25" t="n">
        <x:f>IF(G3=0,"",F3/G3)</x:f>
        <x:v>0.5625</x:v>
      </x:c>
      <x:c r="I3" s="24" t="str">
        <x:v>portrait</x:v>
      </x:c>
      <x:c r="J3" s="26" t="n">
        <x:v>42.2</x:v>
      </x:c>
      <x:c r="K3" s="24" t="str">
        <x:v>Two-tone face or character</x:v>
      </x:c>
      <x:c r="L3" s="24" t="str">
        <x:v>yellow; black; orange; red</x:v>
      </x:c>
      <x:c r="M3" s="24" t="str">
        <x:v>yellow; black</x:v>
      </x:c>
      <x:c r="N3" s="24" t="n">
        <x:v>4</x:v>
      </x:c>
      <x:c r="O3" s="24" t="str">
        <x:v>Circle becomes face with dark half, eyes and mouth</x:v>
      </x:c>
      <x:c r="P3" s="24" t="str">
        <x:v>contrasting face design</x:v>
      </x:c>
      <x:c r="Q3" s="24" t="str">
        <x:v>eyes, mouth, contrasting filled area</x:v>
      </x:c>
      <x:c r="R3" s="24" t="str">
        <x:v>One main idea</x:v>
      </x:c>
      <x:c r="S3" s="24" t="str">
        <x:v>Distinctive split-color face within this set</x:v>
      </x:c>
      <x:c r="T3" s="24" t="str">
        <x:v>High contrast; colored region mainly inside circle</x:v>
      </x:c>
      <x:c r="U3" s="24" t="str">
        <x:v>Invite child to create different facial expressions or a story</x:v>
      </x:c>
      <x:c r="V3" s="24"/>
      <x:c r="W3" s="24"/>
      <x:c r="X3" s="24" t="str">
        <x:v>unassigned</x:v>
      </x:c>
      <x:c r="Y3" s="24" t="n">
        <x:v>4</x:v>
      </x:c>
      <x:c r="Z3" s="24" t="n">
        <x:v>3</x:v>
      </x:c>
      <x:c r="AA3" s="24" t="n">
        <x:v>3</x:v>
      </x:c>
      <x:c r="AB3" s="24" t="n">
        <x:v>2</x:v>
      </x:c>
      <x:c r="AC3" s="24" t="n">
        <x:f>SUM(Y3:AB3)</x:f>
        <x:v>12</x:v>
      </x:c>
      <x:c r="AD3" s="25" t="n">
        <x:f>AVERAGE(Y3:AB3)</x:f>
        <x:v>3</x:v>
      </x:c>
      <x:c r="AE3" s="24" t="str">
        <x:f>IF(AD3&gt;=4.5,"Very High",IF(AD3&gt;=3.5,"High",IF(AD3&gt;=2.5,"Moderate",IF(AD3&gt;=1.5,"Developing","Low"))))</x:f>
        <x:v>Moderate</x:v>
      </x:c>
      <x:c r="AF3" s="24" t="str">
        <x:v>Distinctive split-color face/character with strong contrast. Moderate facial detail and transformation. Flexibility cannot be properly established from one response.</x:v>
      </x:c>
      <x:c r="AG3" s="24" t="str">
        <x:v>PRELIMINARY_ONLY</x:v>
      </x:c>
      <x:c r="AH3" s="24" t="str">
        <x:v>Visual review of user-uploaded drawing; color categories and counts approximate, not pixel measurements</x:v>
      </x:c>
      <x:c r="AI3" s="24" t="str">
        <x:v>train</x:v>
      </x:c>
      <x:c r="AJ3" s="24"/>
      <x:c r="AK3" s="24"/>
      <x:c r="AL3" s="24"/>
      <x:c r="AM3" s="24"/>
      <x:c r="AN3" s="24"/>
      <x:c r="AO3" s="24" t="str">
        <x:v>descriptive_only_needs_human_scoring</x:v>
      </x:c>
      <x:c r="AP3" s="24" t="str">
        <x:f>IF(COUNT(AJ3:AM3)=4,"FINAL HUMAN-LABEL READY","PROTOTYPE ONLY - HUMAN VALIDATION REQUIRED")</x:f>
        <x:v>PROTOTYPE ONLY - HUMAN VALIDATION REQUIRED</x:v>
      </x:c>
    </x:row>
    <x:row r="4" ht="34" customHeight="1">
      <x:c r="A4" s="24" t="str">
        <x:v>S003</x:v>
      </x:c>
      <x:c r="B4" s="24" t="str">
        <x:v>PC01</x:v>
      </x:c>
      <x:c r="C4" s="24" t="str">
        <x:v>S003_PC01.jpeg</x:v>
      </x:c>
      <x:c r="D4" s="24" t="str">
        <x:v>images/picture_completion/S003_PC01.jpeg</x:v>
      </x:c>
      <x:c r="E4" s="24" t="str">
        <x:v>S003_PC01(1).jpeg</x:v>
      </x:c>
      <x:c r="F4" s="24" t="n">
        <x:v>900</x:v>
      </x:c>
      <x:c r="G4" s="24" t="n">
        <x:v>1600</x:v>
      </x:c>
      <x:c r="H4" s="25" t="n">
        <x:f>IF(G4=0,"",F4/G4)</x:f>
        <x:v>0.5625</x:v>
      </x:c>
      <x:c r="I4" s="24" t="str">
        <x:v>portrait</x:v>
      </x:c>
      <x:c r="J4" s="26" t="n">
        <x:v>88.6</x:v>
      </x:c>
      <x:c r="K4" s="24" t="str">
        <x:v>Complex scene inside circle</x:v>
      </x:c>
      <x:c r="L4" s="24" t="str">
        <x:v>pink; orange; yellow; blue; green; purple</x:v>
      </x:c>
      <x:c r="M4" s="24" t="str">
        <x:v>orange; pink; blue</x:v>
      </x:c>
      <x:c r="N4" s="24" t="n">
        <x:v>6</x:v>
      </x:c>
      <x:c r="O4" s="24" t="str">
        <x:v>Several overlapping colored shapes and small figures or objects within circle; exact objects unclear</x:v>
      </x:c>
      <x:c r="P4" s="24" t="str">
        <x:v>scene construction</x:v>
      </x:c>
      <x:c r="Q4" s="24" t="str">
        <x:v>multiple small forms, layered color regions</x:v>
      </x:c>
      <x:c r="R4" s="24" t="str">
        <x:v>Multiple visible elements; category variety unconfirmed</x:v>
      </x:c>
      <x:c r="S4" s="24" t="str">
        <x:v>Distinctive multielement composition within this set</x:v>
      </x:c>
      <x:c r="T4" s="24" t="str">
        <x:v>High color variety; overlapping regions</x:v>
      </x:c>
      <x:c r="U4" s="24" t="str">
        <x:v>Ask child to name each object before evaluating idea diversity</x:v>
      </x:c>
      <x:c r="V4" s="24"/>
      <x:c r="W4" s="24"/>
      <x:c r="X4" s="24" t="str">
        <x:v>unassigned</x:v>
      </x:c>
      <x:c r="Y4" s="24" t="n">
        <x:v>5</x:v>
      </x:c>
      <x:c r="Z4" s="24" t="n">
        <x:v>5</x:v>
      </x:c>
      <x:c r="AA4" s="24" t="n">
        <x:v>5</x:v>
      </x:c>
      <x:c r="AB4" s="24" t="n">
        <x:v>4</x:v>
      </x:c>
      <x:c r="AC4" s="24" t="n">
        <x:f>SUM(Y4:AB4)</x:f>
        <x:v>19</x:v>
      </x:c>
      <x:c r="AD4" s="25" t="n">
        <x:f>AVERAGE(Y4:AB4)</x:f>
        <x:v>4.75</x:v>
      </x:c>
      <x:c r="AE4" s="24" t="str">
        <x:f>IF(AD4&gt;=4.5,"Very High",IF(AD4&gt;=3.5,"High",IF(AD4&gt;=2.5,"Moderate",IF(AD4&gt;=1.5,"Developing","Low"))))</x:f>
        <x:v>Very High</x:v>
      </x:c>
      <x:c r="AF4" s="24" t="str">
        <x:v>Most complex and unusual response in this 10-image sample, with several elements, layered colors and scene-like construction. Exact objects should be confirmed by the child/teacher.</x:v>
      </x:c>
      <x:c r="AG4" s="24" t="str">
        <x:v>PRELIMINARY_ONLY</x:v>
      </x:c>
      <x:c r="AH4" s="24" t="str">
        <x:v>Visual review of user-uploaded drawing; color categories and counts approximate, not pixel measurements</x:v>
      </x:c>
      <x:c r="AI4" s="24" t="str">
        <x:v>train</x:v>
      </x:c>
      <x:c r="AJ4" s="24"/>
      <x:c r="AK4" s="24"/>
      <x:c r="AL4" s="24"/>
      <x:c r="AM4" s="24"/>
      <x:c r="AN4" s="24"/>
      <x:c r="AO4" s="24" t="str">
        <x:v>descriptive_only_needs_human_scoring</x:v>
      </x:c>
      <x:c r="AP4" s="24" t="str">
        <x:f>IF(COUNT(AJ4:AM4)=4,"FINAL HUMAN-LABEL READY","PROTOTYPE ONLY - HUMAN VALIDATION REQUIRED")</x:f>
        <x:v>PROTOTYPE ONLY - HUMAN VALIDATION REQUIRED</x:v>
      </x:c>
    </x:row>
    <x:row r="5" ht="34" customHeight="1">
      <x:c r="A5" s="24" t="str">
        <x:v>S004</x:v>
      </x:c>
      <x:c r="B5" s="24" t="str">
        <x:v>PC01</x:v>
      </x:c>
      <x:c r="C5" s="24" t="str">
        <x:v>S004_PC01.jpeg</x:v>
      </x:c>
      <x:c r="D5" s="24" t="str">
        <x:v>images/picture_completion/S004_PC01.jpeg</x:v>
      </x:c>
      <x:c r="E5" s="24" t="str">
        <x:v>S004_PC01(1).jpeg</x:v>
      </x:c>
      <x:c r="F5" s="24" t="n">
        <x:v>900</x:v>
      </x:c>
      <x:c r="G5" s="24" t="n">
        <x:v>1600</x:v>
      </x:c>
      <x:c r="H5" s="25" t="n">
        <x:f>IF(G5=0,"",F5/G5)</x:f>
        <x:v>0.5625</x:v>
      </x:c>
      <x:c r="I5" s="24" t="str">
        <x:v>portrait</x:v>
      </x:c>
      <x:c r="J5" s="26" t="n">
        <x:v>110.3</x:v>
      </x:c>
      <x:c r="K5" s="24" t="str">
        <x:v>Sun with face</x:v>
      </x:c>
      <x:c r="L5" s="24" t="str">
        <x:v>yellow; orange; black; red</x:v>
      </x:c>
      <x:c r="M5" s="24" t="str">
        <x:v>yellow; orange</x:v>
      </x:c>
      <x:c r="N5" s="24" t="n">
        <x:v>4</x:v>
      </x:c>
      <x:c r="O5" s="24" t="str">
        <x:v>Pointed rays surround circle; two eyes and open mouth</x:v>
      </x:c>
      <x:c r="P5" s="24" t="str">
        <x:v>sun-face transformation</x:v>
      </x:c>
      <x:c r="Q5" s="24" t="str">
        <x:v>rays, eyes, mouth</x:v>
      </x:c>
      <x:c r="R5" s="24" t="str">
        <x:v>One main idea</x:v>
      </x:c>
      <x:c r="S5" s="24" t="str">
        <x:v>Common sun theme within this set</x:v>
      </x:c>
      <x:c r="T5" s="24" t="str">
        <x:v>Yellow center with orange rays</x:v>
      </x:c>
      <x:c r="U5" s="24" t="str">
        <x:v>Invite child to turn the sun into another character</x:v>
      </x:c>
      <x:c r="V5" s="24"/>
      <x:c r="W5" s="24"/>
      <x:c r="X5" s="24" t="str">
        <x:v>unassigned</x:v>
      </x:c>
      <x:c r="Y5" s="24" t="n">
        <x:v>2</x:v>
      </x:c>
      <x:c r="Z5" s="24" t="n">
        <x:v>4</x:v>
      </x:c>
      <x:c r="AA5" s="24" t="n">
        <x:v>3</x:v>
      </x:c>
      <x:c r="AB5" s="24" t="n">
        <x:v>2</x:v>
      </x:c>
      <x:c r="AC5" s="24" t="n">
        <x:f>SUM(Y5:AB5)</x:f>
        <x:v>11</x:v>
      </x:c>
      <x:c r="AD5" s="25" t="n">
        <x:f>AVERAGE(Y5:AB5)</x:f>
        <x:v>2.75</x:v>
      </x:c>
      <x:c r="AE5" s="24" t="str">
        <x:f>IF(AD5&gt;=4.5,"Very High",IF(AD5&gt;=3.5,"High",IF(AD5&gt;=2.5,"Moderate",IF(AD5&gt;=1.5,"Developing","Low"))))</x:f>
        <x:v>Moderate</x:v>
      </x:c>
      <x:c r="AF5" s="24" t="str">
        <x:v>Sun-face is a common idea in this sample, lowering originality. Good elaboration through rays, eyes and mouth. Moderate imaginative transformation.</x:v>
      </x:c>
      <x:c r="AG5" s="24" t="str">
        <x:v>PRELIMINARY_ONLY</x:v>
      </x:c>
      <x:c r="AH5" s="24" t="str">
        <x:v>Visual review of user-uploaded drawing; color categories and counts approximate, not pixel measurements</x:v>
      </x:c>
      <x:c r="AI5" s="24" t="str">
        <x:v>test</x:v>
      </x:c>
      <x:c r="AJ5" s="24"/>
      <x:c r="AK5" s="24"/>
      <x:c r="AL5" s="24"/>
      <x:c r="AM5" s="24"/>
      <x:c r="AN5" s="24"/>
      <x:c r="AO5" s="24" t="str">
        <x:v>descriptive_only_needs_human_scoring</x:v>
      </x:c>
      <x:c r="AP5" s="24" t="str">
        <x:f>IF(COUNT(AJ5:AM5)=4,"FINAL HUMAN-LABEL READY","PROTOTYPE ONLY - HUMAN VALIDATION REQUIRED")</x:f>
        <x:v>PROTOTYPE ONLY - HUMAN VALIDATION REQUIRED</x:v>
      </x:c>
    </x:row>
    <x:row r="6" ht="34" customHeight="1">
      <x:c r="A6" s="24" t="str">
        <x:v>S005</x:v>
      </x:c>
      <x:c r="B6" s="24" t="str">
        <x:v>PC01</x:v>
      </x:c>
      <x:c r="C6" s="24" t="str">
        <x:v>S005_PC01.jpeg</x:v>
      </x:c>
      <x:c r="D6" s="24" t="str">
        <x:v>images/picture_completion/S005_PC01.jpeg</x:v>
      </x:c>
      <x:c r="E6" s="24" t="str">
        <x:v>S005_PC01(1).jpeg</x:v>
      </x:c>
      <x:c r="F6" s="24" t="n">
        <x:v>900</x:v>
      </x:c>
      <x:c r="G6" s="24" t="n">
        <x:v>1600</x:v>
      </x:c>
      <x:c r="H6" s="25" t="n">
        <x:f>IF(G6=0,"",F6/G6)</x:f>
        <x:v>0.5625</x:v>
      </x:c>
      <x:c r="I6" s="24" t="str">
        <x:v>portrait</x:v>
      </x:c>
      <x:c r="J6" s="26" t="n">
        <x:v>95.6</x:v>
      </x:c>
      <x:c r="K6" s="24" t="str">
        <x:v>Face or character</x:v>
      </x:c>
      <x:c r="L6" s="24" t="str">
        <x:v>red; black; orange</x:v>
      </x:c>
      <x:c r="M6" s="24" t="str">
        <x:v>red; black</x:v>
      </x:c>
      <x:c r="N6" s="24" t="n">
        <x:v>3</x:v>
      </x:c>
      <x:c r="O6" s="24" t="str">
        <x:v>Circle contains face-like details; lower dark region</x:v>
      </x:c>
      <x:c r="P6" s="24" t="str">
        <x:v>character or face transformation</x:v>
      </x:c>
      <x:c r="Q6" s="24" t="str">
        <x:v>eyes, mouth, dark base/foreground</x:v>
      </x:c>
      <x:c r="R6" s="24" t="str">
        <x:v>One main idea</x:v>
      </x:c>
      <x:c r="S6" s="24" t="str">
        <x:v>Face theme also appears in other drawings</x:v>
      </x:c>
      <x:c r="T6" s="24" t="str">
        <x:v>Strong red-black contrast</x:v>
      </x:c>
      <x:c r="U6" s="24" t="str">
        <x:v>Ask child to explain the character and setting</x:v>
      </x:c>
      <x:c r="V6" s="24"/>
      <x:c r="W6" s="24"/>
      <x:c r="X6" s="24" t="str">
        <x:v>unassigned</x:v>
      </x:c>
      <x:c r="Y6" s="24" t="n">
        <x:v>3</x:v>
      </x:c>
      <x:c r="Z6" s="24" t="n">
        <x:v>3</x:v>
      </x:c>
      <x:c r="AA6" s="24" t="n">
        <x:v>3</x:v>
      </x:c>
      <x:c r="AB6" s="24" t="n">
        <x:v>2</x:v>
      </x:c>
      <x:c r="AC6" s="24" t="n">
        <x:f>SUM(Y6:AB6)</x:f>
        <x:v>11</x:v>
      </x:c>
      <x:c r="AD6" s="25" t="n">
        <x:f>AVERAGE(Y6:AB6)</x:f>
        <x:v>2.75</x:v>
      </x:c>
      <x:c r="AE6" s="24" t="str">
        <x:f>IF(AD6&gt;=4.5,"Very High",IF(AD6&gt;=3.5,"High",IF(AD6&gt;=2.5,"Moderate",IF(AD6&gt;=1.5,"Developing","Low"))))</x:f>
        <x:v>Moderate</x:v>
      </x:c>
      <x:c r="AF6" s="24" t="str">
        <x:v>Face/character interpretation with strong red-black contrast and several facial/foreground details. Idea category is not rare in this sample.</x:v>
      </x:c>
      <x:c r="AG6" s="24" t="str">
        <x:v>PRELIMINARY_ONLY</x:v>
      </x:c>
      <x:c r="AH6" s="24" t="str">
        <x:v>Visual review of user-uploaded drawing; color categories and counts approximate, not pixel measurements</x:v>
      </x:c>
      <x:c r="AI6" s="24" t="str">
        <x:v>test</x:v>
      </x:c>
      <x:c r="AJ6" s="24"/>
      <x:c r="AK6" s="24"/>
      <x:c r="AL6" s="24"/>
      <x:c r="AM6" s="24"/>
      <x:c r="AN6" s="24"/>
      <x:c r="AO6" s="24" t="str">
        <x:v>descriptive_only_needs_human_scoring</x:v>
      </x:c>
      <x:c r="AP6" s="24" t="str">
        <x:f>IF(COUNT(AJ6:AM6)=4,"FINAL HUMAN-LABEL READY","PROTOTYPE ONLY - HUMAN VALIDATION REQUIRED")</x:f>
        <x:v>PROTOTYPE ONLY - HUMAN VALIDATION REQUIRED</x:v>
      </x:c>
    </x:row>
    <x:row r="7" ht="34" customHeight="1">
      <x:c r="A7" s="24" t="str">
        <x:v>S006</x:v>
      </x:c>
      <x:c r="B7" s="24" t="str">
        <x:v>PC01</x:v>
      </x:c>
      <x:c r="C7" s="24" t="str">
        <x:v>S006_PC01.jpeg</x:v>
      </x:c>
      <x:c r="D7" s="24" t="str">
        <x:v>images/picture_completion/S006_PC01.jpeg</x:v>
      </x:c>
      <x:c r="E7" s="24" t="str">
        <x:v>S006_PC01(1).jpeg</x:v>
      </x:c>
      <x:c r="F7" s="24" t="n">
        <x:v>900</x:v>
      </x:c>
      <x:c r="G7" s="24" t="n">
        <x:v>1600</x:v>
      </x:c>
      <x:c r="H7" s="25" t="n">
        <x:f>IF(G7=0,"",F7/G7)</x:f>
        <x:v>0.5625</x:v>
      </x:c>
      <x:c r="I7" s="24" t="str">
        <x:v>portrait</x:v>
      </x:c>
      <x:c r="J7" s="26" t="n">
        <x:v>93.2</x:v>
      </x:c>
      <x:c r="K7" s="24" t="str">
        <x:v>Blue face or character</x:v>
      </x:c>
      <x:c r="L7" s="24" t="str">
        <x:v>blue; black</x:v>
      </x:c>
      <x:c r="M7" s="24" t="str">
        <x:v>blue</x:v>
      </x:c>
      <x:c r="N7" s="24" t="n">
        <x:v>2</x:v>
      </x:c>
      <x:c r="O7" s="24" t="str">
        <x:v>Blue circular face with simple dark facial marks; faint additional sketch outside</x:v>
      </x:c>
      <x:c r="P7" s="24" t="str">
        <x:v>face transformation</x:v>
      </x:c>
      <x:c r="Q7" s="24" t="str">
        <x:v>facial marks, faint side sketch</x:v>
      </x:c>
      <x:c r="R7" s="24" t="str">
        <x:v>One main idea</x:v>
      </x:c>
      <x:c r="S7" s="24" t="str">
        <x:v>Face theme repeated; blue palette is distinctive</x:v>
      </x:c>
      <x:c r="T7" s="24" t="str">
        <x:v>Mainly blue, dark details</x:v>
      </x:c>
      <x:c r="U7" s="24" t="str">
        <x:v>Try adding setting, accessories, or an alternative object</x:v>
      </x:c>
      <x:c r="V7" s="24"/>
      <x:c r="W7" s="24"/>
      <x:c r="X7" s="24" t="str">
        <x:v>unassigned</x:v>
      </x:c>
      <x:c r="Y7" s="24" t="n">
        <x:v>3</x:v>
      </x:c>
      <x:c r="Z7" s="24" t="n">
        <x:v>2</x:v>
      </x:c>
      <x:c r="AA7" s="24" t="n">
        <x:v>2</x:v>
      </x:c>
      <x:c r="AB7" s="24" t="n">
        <x:v>2</x:v>
      </x:c>
      <x:c r="AC7" s="24" t="n">
        <x:f>SUM(Y7:AB7)</x:f>
        <x:v>9</x:v>
      </x:c>
      <x:c r="AD7" s="25" t="n">
        <x:f>AVERAGE(Y7:AB7)</x:f>
        <x:v>2.25</x:v>
      </x:c>
      <x:c r="AE7" s="24" t="str">
        <x:f>IF(AD7&gt;=4.5,"Very High",IF(AD7&gt;=3.5,"High",IF(AD7&gt;=2.5,"Moderate",IF(AD7&gt;=1.5,"Developing","Low"))))</x:f>
        <x:v>Developing</x:v>
      </x:c>
      <x:c r="AF7" s="24" t="str">
        <x:v>Simple blue face/character with limited added detail. Blue palette is visually distinctive, but the structural transformation is relatively simple.</x:v>
      </x:c>
      <x:c r="AG7" s="24" t="str">
        <x:v>PRELIMINARY_ONLY</x:v>
      </x:c>
      <x:c r="AH7" s="24" t="str">
        <x:v>Visual review of user-uploaded drawing; color categories and counts approximate, not pixel measurements</x:v>
      </x:c>
      <x:c r="AI7" s="24" t="str">
        <x:v>train</x:v>
      </x:c>
      <x:c r="AJ7" s="24"/>
      <x:c r="AK7" s="24"/>
      <x:c r="AL7" s="24"/>
      <x:c r="AM7" s="24"/>
      <x:c r="AN7" s="24"/>
      <x:c r="AO7" s="24" t="str">
        <x:v>descriptive_only_needs_human_scoring</x:v>
      </x:c>
      <x:c r="AP7" s="24" t="str">
        <x:f>IF(COUNT(AJ7:AM7)=4,"FINAL HUMAN-LABEL READY","PROTOTYPE ONLY - HUMAN VALIDATION REQUIRED")</x:f>
        <x:v>PROTOTYPE ONLY - HUMAN VALIDATION REQUIRED</x:v>
      </x:c>
    </x:row>
    <x:row r="8" ht="34" customHeight="1">
      <x:c r="A8" s="24" t="str">
        <x:v>S007</x:v>
      </x:c>
      <x:c r="B8" s="24" t="str">
        <x:v>PC01</x:v>
      </x:c>
      <x:c r="C8" s="24" t="str">
        <x:v>S007_PC01.jpeg</x:v>
      </x:c>
      <x:c r="D8" s="24" t="str">
        <x:v>images/picture_completion/S007_PC01.jpeg</x:v>
      </x:c>
      <x:c r="E8" s="24" t="str">
        <x:v>S007_PC01(1).jpeg</x:v>
      </x:c>
      <x:c r="F8" s="24" t="n">
        <x:v>720</x:v>
      </x:c>
      <x:c r="G8" s="24" t="n">
        <x:v>1280</x:v>
      </x:c>
      <x:c r="H8" s="25" t="n">
        <x:f>IF(G8=0,"",F8/G8)</x:f>
        <x:v>0.5625</x:v>
      </x:c>
      <x:c r="I8" s="24" t="str">
        <x:v>portrait</x:v>
      </x:c>
      <x:c r="J8" s="26" t="n">
        <x:v>53.6</x:v>
      </x:c>
      <x:c r="K8" s="24" t="str">
        <x:v>Sun-like smiling character</x:v>
      </x:c>
      <x:c r="L8" s="24" t="str">
        <x:v>yellow; black</x:v>
      </x:c>
      <x:c r="M8" s="24" t="str">
        <x:v>yellow</x:v>
      </x:c>
      <x:c r="N8" s="24" t="n">
        <x:v>2</x:v>
      </x:c>
      <x:c r="O8" s="24" t="str">
        <x:v>Circular yellow face with several curved rays/extensions and facial details</x:v>
      </x:c>
      <x:c r="P8" s="24" t="str">
        <x:v>sun-face transformation</x:v>
      </x:c>
      <x:c r="Q8" s="24" t="str">
        <x:v>curved rays, eyes, mouth</x:v>
      </x:c>
      <x:c r="R8" s="24" t="str">
        <x:v>One main idea</x:v>
      </x:c>
      <x:c r="S8" s="24" t="str">
        <x:v>Sun theme repeated; curved extensions differ</x:v>
      </x:c>
      <x:c r="T8" s="24" t="str">
        <x:v>Yellow-dominant</x:v>
      </x:c>
      <x:c r="U8" s="24" t="str">
        <x:v>Explore three alternative designs using the same circle</x:v>
      </x:c>
      <x:c r="V8" s="24"/>
      <x:c r="W8" s="24"/>
      <x:c r="X8" s="24" t="str">
        <x:v>unassigned</x:v>
      </x:c>
      <x:c r="Y8" s="24" t="n">
        <x:v>2</x:v>
      </x:c>
      <x:c r="Z8" s="24" t="n">
        <x:v>3</x:v>
      </x:c>
      <x:c r="AA8" s="24" t="n">
        <x:v>3</x:v>
      </x:c>
      <x:c r="AB8" s="24" t="n">
        <x:v>2</x:v>
      </x:c>
      <x:c r="AC8" s="24" t="n">
        <x:f>SUM(Y8:AB8)</x:f>
        <x:v>10</x:v>
      </x:c>
      <x:c r="AD8" s="25" t="n">
        <x:f>AVERAGE(Y8:AB8)</x:f>
        <x:v>2.5</x:v>
      </x:c>
      <x:c r="AE8" s="24" t="str">
        <x:f>IF(AD8&gt;=4.5,"Very High",IF(AD8&gt;=3.5,"High",IF(AD8&gt;=2.5,"Moderate",IF(AD8&gt;=1.5,"Developing","Low"))))</x:f>
        <x:v>Moderate</x:v>
      </x:c>
      <x:c r="AF8" s="24" t="str">
        <x:v>Sun-like character is a repeated theme in the sample. Curved extensions and facial features provide moderate elaboration.</x:v>
      </x:c>
      <x:c r="AG8" s="24" t="str">
        <x:v>PRELIMINARY_ONLY</x:v>
      </x:c>
      <x:c r="AH8" s="24" t="str">
        <x:v>Visual review of user-uploaded drawing; color categories and counts approximate, not pixel measurements</x:v>
      </x:c>
      <x:c r="AI8" s="24" t="str">
        <x:v>train</x:v>
      </x:c>
      <x:c r="AJ8" s="24"/>
      <x:c r="AK8" s="24"/>
      <x:c r="AL8" s="24"/>
      <x:c r="AM8" s="24"/>
      <x:c r="AN8" s="24"/>
      <x:c r="AO8" s="24" t="str">
        <x:v>descriptive_only_needs_human_scoring</x:v>
      </x:c>
      <x:c r="AP8" s="24" t="str">
        <x:f>IF(COUNT(AJ8:AM8)=4,"FINAL HUMAN-LABEL READY","PROTOTYPE ONLY - HUMAN VALIDATION REQUIRED")</x:f>
        <x:v>PROTOTYPE ONLY - HUMAN VALIDATION REQUIRED</x:v>
      </x:c>
    </x:row>
    <x:row r="9" ht="34" customHeight="1">
      <x:c r="A9" s="24" t="str">
        <x:v>S008</x:v>
      </x:c>
      <x:c r="B9" s="24" t="str">
        <x:v>PC01</x:v>
      </x:c>
      <x:c r="C9" s="24" t="str">
        <x:v>S008_PC01.jpeg</x:v>
      </x:c>
      <x:c r="D9" s="24" t="str">
        <x:v>images/picture_completion/S008_PC01.jpeg</x:v>
      </x:c>
      <x:c r="E9" s="24" t="str">
        <x:v>S008_PC01(1).jpeg</x:v>
      </x:c>
      <x:c r="F9" s="24" t="n">
        <x:v>720</x:v>
      </x:c>
      <x:c r="G9" s="24" t="n">
        <x:v>1280</x:v>
      </x:c>
      <x:c r="H9" s="25" t="n">
        <x:f>IF(G9=0,"",F9/G9)</x:f>
        <x:v>0.5625</x:v>
      </x:c>
      <x:c r="I9" s="24" t="str">
        <x:v>portrait</x:v>
      </x:c>
      <x:c r="J9" s="26" t="n">
        <x:v>94.6</x:v>
      </x:c>
      <x:c r="K9" s="24" t="str">
        <x:v>Blue-and-gold sun or character</x:v>
      </x:c>
      <x:c r="L9" s="24" t="str">
        <x:v>blue; golden yellow; purple; green</x:v>
      </x:c>
      <x:c r="M9" s="24" t="str">
        <x:v>blue; golden yellow</x:v>
      </x:c>
      <x:c r="N9" s="24" t="n">
        <x:v>4</x:v>
      </x:c>
      <x:c r="O9" s="24" t="str">
        <x:v>Blue face inside circle; many golden rays; purple facial marks</x:v>
      </x:c>
      <x:c r="P9" s="24" t="str">
        <x:v>unconventional sun color scheme</x:v>
      </x:c>
      <x:c r="Q9" s="24" t="str">
        <x:v>multiple rays, eyes, mouth, other marks</x:v>
      </x:c>
      <x:c r="R9" s="24" t="str">
        <x:v>One main idea</x:v>
      </x:c>
      <x:c r="S9" s="24" t="str">
        <x:v>Blue sun-face stands out among yellow suns</x:v>
      </x:c>
      <x:c r="T9" s="24" t="str">
        <x:v>Strong blue-gold contrast</x:v>
      </x:c>
      <x:c r="U9" s="24" t="str">
        <x:v>Ask why these colors were chosen and suggest a story</x:v>
      </x:c>
      <x:c r="V9" s="24"/>
      <x:c r="W9" s="24"/>
      <x:c r="X9" s="24" t="str">
        <x:v>unassigned</x:v>
      </x:c>
      <x:c r="Y9" s="24" t="n">
        <x:v>4</x:v>
      </x:c>
      <x:c r="Z9" s="24" t="n">
        <x:v>4</x:v>
      </x:c>
      <x:c r="AA9" s="24" t="n">
        <x:v>4</x:v>
      </x:c>
      <x:c r="AB9" s="24" t="n">
        <x:v>3</x:v>
      </x:c>
      <x:c r="AC9" s="24" t="n">
        <x:f>SUM(Y9:AB9)</x:f>
        <x:v>15</x:v>
      </x:c>
      <x:c r="AD9" s="25" t="n">
        <x:f>AVERAGE(Y9:AB9)</x:f>
        <x:v>3.75</x:v>
      </x:c>
      <x:c r="AE9" s="24" t="str">
        <x:f>IF(AD9&gt;=4.5,"Very High",IF(AD9&gt;=3.5,"High",IF(AD9&gt;=2.5,"Moderate",IF(AD9&gt;=1.5,"Developing","Low"))))</x:f>
        <x:v>High</x:v>
      </x:c>
      <x:c r="AF9" s="24" t="str">
        <x:v>Unusual blue-and-gold sun/character compared with the other sun responses. Many rays and facial marks add detail; color choice increases distinctiveness.</x:v>
      </x:c>
      <x:c r="AG9" s="24" t="str">
        <x:v>PRELIMINARY_ONLY</x:v>
      </x:c>
      <x:c r="AH9" s="24" t="str">
        <x:v>Visual review of user-uploaded drawing; color categories and counts approximate, not pixel measurements</x:v>
      </x:c>
      <x:c r="AI9" s="24" t="str">
        <x:v>train</x:v>
      </x:c>
      <x:c r="AJ9" s="24"/>
      <x:c r="AK9" s="24"/>
      <x:c r="AL9" s="24"/>
      <x:c r="AM9" s="24"/>
      <x:c r="AN9" s="24"/>
      <x:c r="AO9" s="24" t="str">
        <x:v>descriptive_only_needs_human_scoring</x:v>
      </x:c>
      <x:c r="AP9" s="24" t="str">
        <x:f>IF(COUNT(AJ9:AM9)=4,"FINAL HUMAN-LABEL READY","PROTOTYPE ONLY - HUMAN VALIDATION REQUIRED")</x:f>
        <x:v>PROTOTYPE ONLY - HUMAN VALIDATION REQUIRED</x:v>
      </x:c>
    </x:row>
    <x:row r="10" ht="34" customHeight="1">
      <x:c r="A10" s="24" t="str">
        <x:v>S009</x:v>
      </x:c>
      <x:c r="B10" s="24" t="str">
        <x:v>PC01</x:v>
      </x:c>
      <x:c r="C10" s="24" t="str">
        <x:v>S009_PC01.jpeg</x:v>
      </x:c>
      <x:c r="D10" s="24" t="str">
        <x:v>images/picture_completion/S009_PC01.jpeg</x:v>
      </x:c>
      <x:c r="E10" s="24" t="str">
        <x:v>S009_PC01(1).jpeg</x:v>
      </x:c>
      <x:c r="F10" s="24" t="n">
        <x:v>720</x:v>
      </x:c>
      <x:c r="G10" s="24" t="n">
        <x:v>1280</x:v>
      </x:c>
      <x:c r="H10" s="25" t="n">
        <x:f>IF(G10=0,"",F10/G10)</x:f>
        <x:v>0.5625</x:v>
      </x:c>
      <x:c r="I10" s="24" t="str">
        <x:v>portrait</x:v>
      </x:c>
      <x:c r="J10" s="26" t="n">
        <x:v>54.7</x:v>
      </x:c>
      <x:c r="K10" s="24" t="str">
        <x:v>Smiling sun</x:v>
      </x:c>
      <x:c r="L10" s="24" t="str">
        <x:v>yellow; black</x:v>
      </x:c>
      <x:c r="M10" s="24" t="str">
        <x:v>yellow</x:v>
      </x:c>
      <x:c r="N10" s="24" t="n">
        <x:v>2</x:v>
      </x:c>
      <x:c r="O10" s="24" t="str">
        <x:v>Yellow circle with numerous narrow wavy rays and facial marks</x:v>
      </x:c>
      <x:c r="P10" s="24" t="str">
        <x:v>sun-face transformation</x:v>
      </x:c>
      <x:c r="Q10" s="24" t="str">
        <x:v>many wavy rays, eyes, smile</x:v>
      </x:c>
      <x:c r="R10" s="24" t="str">
        <x:v>One main idea</x:v>
      </x:c>
      <x:c r="S10" s="24" t="str">
        <x:v>Sun theme repeated; wavy rays distinctive</x:v>
      </x:c>
      <x:c r="T10" s="24" t="str">
        <x:v>Mostly yellow</x:v>
      </x:c>
      <x:c r="U10" s="24" t="str">
        <x:v>Explore a new circle transformation rather than another sun</x:v>
      </x:c>
      <x:c r="V10" s="24"/>
      <x:c r="W10" s="24"/>
      <x:c r="X10" s="24" t="str">
        <x:v>unassigned</x:v>
      </x:c>
      <x:c r="Y10" s="24" t="n">
        <x:v>2</x:v>
      </x:c>
      <x:c r="Z10" s="24" t="n">
        <x:v>3</x:v>
      </x:c>
      <x:c r="AA10" s="24" t="n">
        <x:v>2</x:v>
      </x:c>
      <x:c r="AB10" s="24" t="n">
        <x:v>2</x:v>
      </x:c>
      <x:c r="AC10" s="24" t="n">
        <x:f>SUM(Y10:AB10)</x:f>
        <x:v>9</x:v>
      </x:c>
      <x:c r="AD10" s="25" t="n">
        <x:f>AVERAGE(Y10:AB10)</x:f>
        <x:v>2.25</x:v>
      </x:c>
      <x:c r="AE10" s="24" t="str">
        <x:f>IF(AD10&gt;=4.5,"Very High",IF(AD10&gt;=3.5,"High",IF(AD10&gt;=2.5,"Moderate",IF(AD10&gt;=1.5,"Developing","Low"))))</x:f>
        <x:v>Developing</x:v>
      </x:c>
      <x:c r="AF10" s="24" t="str">
        <x:v>Smiling sun is a common theme in this sample. Numerous wavy rays add detail, but the core idea is conventional relative to peers.</x:v>
      </x:c>
      <x:c r="AG10" s="24" t="str">
        <x:v>PRELIMINARY_ONLY</x:v>
      </x:c>
      <x:c r="AH10" s="24" t="str">
        <x:v>Visual review of user-uploaded drawing; color categories and counts approximate, not pixel measurements</x:v>
      </x:c>
      <x:c r="AI10" s="24" t="str">
        <x:v>train</x:v>
      </x:c>
      <x:c r="AJ10" s="24"/>
      <x:c r="AK10" s="24"/>
      <x:c r="AL10" s="24"/>
      <x:c r="AM10" s="24"/>
      <x:c r="AN10" s="24"/>
      <x:c r="AO10" s="24" t="str">
        <x:v>descriptive_only_needs_human_scoring</x:v>
      </x:c>
      <x:c r="AP10" s="24" t="str">
        <x:f>IF(COUNT(AJ10:AM10)=4,"FINAL HUMAN-LABEL READY","PROTOTYPE ONLY - HUMAN VALIDATION REQUIRED")</x:f>
        <x:v>PROTOTYPE ONLY - HUMAN VALIDATION REQUIRED</x:v>
      </x:c>
    </x:row>
    <x:row r="11" ht="34" customHeight="1">
      <x:c r="A11" s="24" t="str">
        <x:v>S010</x:v>
      </x:c>
      <x:c r="B11" s="24" t="str">
        <x:v>PC01</x:v>
      </x:c>
      <x:c r="C11" s="24" t="str">
        <x:v>S010_PC01.jpeg</x:v>
      </x:c>
      <x:c r="D11" s="24" t="str">
        <x:v>images/picture_completion/S010_PC01.jpeg</x:v>
      </x:c>
      <x:c r="E11" s="24" t="str">
        <x:v>S010_PC01(1).jpeg</x:v>
      </x:c>
      <x:c r="F11" s="24" t="n">
        <x:v>720</x:v>
      </x:c>
      <x:c r="G11" s="24" t="n">
        <x:v>1280</x:v>
      </x:c>
      <x:c r="H11" s="25" t="n">
        <x:f>IF(G11=0,"",F11/G11)</x:f>
        <x:v>0.5625</x:v>
      </x:c>
      <x:c r="I11" s="24" t="str">
        <x:v>portrait</x:v>
      </x:c>
      <x:c r="J11" s="26" t="n">
        <x:v>66.1</x:v>
      </x:c>
      <x:c r="K11" s="24" t="str">
        <x:v>Sun with face</x:v>
      </x:c>
      <x:c r="L11" s="24" t="str">
        <x:v>yellow; orange; black</x:v>
      </x:c>
      <x:c r="M11" s="24" t="str">
        <x:v>yellow; orange</x:v>
      </x:c>
      <x:c r="N11" s="24" t="n">
        <x:v>3</x:v>
      </x:c>
      <x:c r="O11" s="24" t="str">
        <x:v>Yellow circular face with triangular orange rays, eyes, nose and mouth</x:v>
      </x:c>
      <x:c r="P11" s="24" t="str">
        <x:v>sun-face transformation</x:v>
      </x:c>
      <x:c r="Q11" s="24" t="str">
        <x:v>triangular rays, eyes, nose, mouth</x:v>
      </x:c>
      <x:c r="R11" s="24" t="str">
        <x:v>One main idea</x:v>
      </x:c>
      <x:c r="S11" s="24" t="str">
        <x:v>Sun theme repeated; angular rays distinguish it</x:v>
      </x:c>
      <x:c r="T11" s="24" t="str">
        <x:v>Yellow-orange dominant</x:v>
      </x:c>
      <x:c r="U11" s="24" t="str">
        <x:v>Add background details or develop a new object from a circle</x:v>
      </x:c>
      <x:c r="V11" s="24"/>
      <x:c r="W11" s="24"/>
      <x:c r="X11" s="24" t="str">
        <x:v>unassigned</x:v>
      </x:c>
      <x:c r="Y11" s="24" t="n">
        <x:v>2</x:v>
      </x:c>
      <x:c r="Z11" s="24" t="n">
        <x:v>4</x:v>
      </x:c>
      <x:c r="AA11" s="24" t="n">
        <x:v>3</x:v>
      </x:c>
      <x:c r="AB11" s="24" t="n">
        <x:v>2</x:v>
      </x:c>
      <x:c r="AC11" s="24" t="n">
        <x:f>SUM(Y11:AB11)</x:f>
        <x:v>11</x:v>
      </x:c>
      <x:c r="AD11" s="25" t="n">
        <x:f>AVERAGE(Y11:AB11)</x:f>
        <x:v>2.75</x:v>
      </x:c>
      <x:c r="AE11" s="24" t="str">
        <x:f>IF(AD11&gt;=4.5,"Very High",IF(AD11&gt;=3.5,"High",IF(AD11&gt;=2.5,"Moderate",IF(AD11&gt;=1.5,"Developing","Low"))))</x:f>
        <x:v>Moderate</x:v>
      </x:c>
      <x:c r="AF11" s="24" t="str">
        <x:v>Common sun-face concept, but angular rays and complete facial elements give relatively strong elaboration. Originality remains lower because the category is repeated.</x:v>
      </x:c>
      <x:c r="AG11" s="24" t="str">
        <x:v>PRELIMINARY_ONLY</x:v>
      </x:c>
      <x:c r="AH11" s="24" t="str">
        <x:v>Visual review of user-uploaded drawing; color categories and counts approximate, not pixel measurements</x:v>
      </x:c>
      <x:c r="AI11" s="24" t="str">
        <x:v>train</x:v>
      </x:c>
      <x:c r="AJ11" s="24"/>
      <x:c r="AK11" s="24"/>
      <x:c r="AL11" s="24"/>
      <x:c r="AM11" s="24"/>
      <x:c r="AN11" s="24"/>
      <x:c r="AO11" s="24" t="str">
        <x:v>descriptive_only_needs_human_scoring</x:v>
      </x:c>
      <x:c r="AP11" s="24" t="str">
        <x:f>IF(COUNT(AJ11:AM11)=4,"FINAL HUMAN-LABEL READY","PROTOTYPE ONLY - HUMAN VALIDATION REQUIRED")</x:f>
        <x:v>PROTOTYPE ONLY - HUMAN VALIDATION REQUIRED</x:v>
      </x:c>
    </x:row>
    <x:row r="12" ht="34" customHeight="1">
      <x:c r="A12" s="24" t="str">
        <x:v>S011</x:v>
      </x:c>
      <x:c r="B12" s="24" t="str">
        <x:v>PC01</x:v>
      </x:c>
      <x:c r="C12" s="24" t="str">
        <x:v>S011_PC01.jpeg</x:v>
      </x:c>
      <x:c r="D12" s="24" t="str">
        <x:v>images/picture_completion/S011_PC01.jpeg</x:v>
      </x:c>
      <x:c r="E12" s="24" t="str">
        <x:v>S011_PC01(2).jpeg</x:v>
      </x:c>
      <x:c r="F12" s="24" t="n">
        <x:v>720</x:v>
      </x:c>
      <x:c r="G12" s="24" t="n">
        <x:v>1280</x:v>
      </x:c>
      <x:c r="H12" s="25" t="n">
        <x:f>IF(G12=0,"",F12/G12)</x:f>
        <x:v>0.5625</x:v>
      </x:c>
      <x:c r="I12" s="24" t="str">
        <x:v>portrait</x:v>
      </x:c>
      <x:c r="J12" s="26" t="n">
        <x:v>55.5</x:v>
      </x:c>
      <x:c r="K12" s="24" t="str">
        <x:v>Two-tone face or ball-like character</x:v>
      </x:c>
      <x:c r="L12" s="24" t="str">
        <x:v>orange; red; yellow; black</x:v>
      </x:c>
      <x:c r="M12" s="24" t="str">
        <x:v>orange; red</x:v>
      </x:c>
      <x:c r="N12" s="24" t="n">
        <x:v>4</x:v>
      </x:c>
      <x:c r="O12" s="24" t="str">
        <x:v>Circle divided into orange and red halves; two dark eyes/marks and small curved facial details added</x:v>
      </x:c>
      <x:c r="P12" s="24" t="str">
        <x:v>contrasting face/character transformation</x:v>
      </x:c>
      <x:c r="Q12" s="24" t="str">
        <x:v>two-tone fill, eyes/marks, small facial elements</x:v>
      </x:c>
      <x:c r="R12" s="24" t="str">
        <x:v>One main idea</x:v>
      </x:c>
      <x:c r="S12" s="24" t="str">
        <x:v>More distinctive than repeated sun responses because of the split-color design</x:v>
      </x:c>
      <x:c r="T12" s="24" t="str">
        <x:v>Strong orange-red contrast with black details</x:v>
      </x:c>
      <x:c r="U12" s="24" t="str">
        <x:v>Ask the child what the character is and to create a second, very different use of the circle</x:v>
      </x:c>
      <x:c r="V12" s="24"/>
      <x:c r="W12" s="24"/>
      <x:c r="X12" s="24" t="str">
        <x:v>unassigned</x:v>
      </x:c>
      <x:c r="Y12" s="24" t="n">
        <x:v>4</x:v>
      </x:c>
      <x:c r="Z12" s="24" t="n">
        <x:v>3</x:v>
      </x:c>
      <x:c r="AA12" s="24" t="n">
        <x:v>3</x:v>
      </x:c>
      <x:c r="AB12" s="24" t="n">
        <x:v>2</x:v>
      </x:c>
      <x:c r="AC12" s="24" t="n">
        <x:f>SUM(Y12:AB12)</x:f>
        <x:v>12</x:v>
      </x:c>
      <x:c r="AD12" s="25" t="n">
        <x:f>AVERAGE(Y12:AB12)</x:f>
        <x:v>3</x:v>
      </x:c>
      <x:c r="AE12" s="24" t="str">
        <x:f>IF(AD12&gt;=4.5,"Very High",IF(AD12&gt;=3.5,"High",IF(AD12&gt;=2.5,"Moderate",IF(AD12&gt;=1.5,"Developing","Low"))))</x:f>
        <x:v>Moderate</x:v>
      </x:c>
      <x:c r="AF12" s="24" t="str">
        <x:v>Split-color circular character is relatively uncommon in this 20-image sample. Moderate detail and color contrast; flexibility is only a single-picture proxy.</x:v>
      </x:c>
      <x:c r="AG12" s="24" t="str">
        <x:v>PRELIMINARY_ONLY</x:v>
      </x:c>
      <x:c r="AH12" s="24" t="str">
        <x:v>Rechecked against latest user-uploaded image; descriptive visual coding retained; creativity scores remain preliminary pending human validation.</x:v>
      </x:c>
      <x:c r="AI12" s="24" t="str">
        <x:v>train</x:v>
      </x:c>
      <x:c r="AJ12" s="24"/>
      <x:c r="AK12" s="24"/>
      <x:c r="AL12" s="24"/>
      <x:c r="AM12" s="24"/>
      <x:c r="AN12" s="24"/>
      <x:c r="AO12" s="24" t="str">
        <x:v>descriptive_only_needs_human_scoring</x:v>
      </x:c>
      <x:c r="AP12" s="24" t="str">
        <x:f>IF(COUNT(AJ12:AM12)=4,"FINAL HUMAN-LABEL READY","PROTOTYPE ONLY - HUMAN VALIDATION REQUIRED")</x:f>
        <x:v>PROTOTYPE ONLY - HUMAN VALIDATION REQUIRED</x:v>
      </x:c>
    </x:row>
    <x:row r="13" ht="34" customHeight="1">
      <x:c r="A13" s="24" t="str">
        <x:v>S012</x:v>
      </x:c>
      <x:c r="B13" s="24" t="str">
        <x:v>PC01</x:v>
      </x:c>
      <x:c r="C13" s="24" t="str">
        <x:v>S012_PC01.jpeg</x:v>
      </x:c>
      <x:c r="D13" s="24" t="str">
        <x:v>images/picture_completion/S012_PC01.jpeg</x:v>
      </x:c>
      <x:c r="E13" s="24" t="str">
        <x:v>S012_PC01(2).jpeg</x:v>
      </x:c>
      <x:c r="F13" s="24" t="n">
        <x:v>720</x:v>
      </x:c>
      <x:c r="G13" s="24" t="n">
        <x:v>1280</x:v>
      </x:c>
      <x:c r="H13" s="25" t="n">
        <x:f>IF(G13=0,"",F13/G13)</x:f>
        <x:v>0.5625</x:v>
      </x:c>
      <x:c r="I13" s="24" t="str">
        <x:v>portrait</x:v>
      </x:c>
      <x:c r="J13" s="26" t="n">
        <x:v>87.6</x:v>
      </x:c>
      <x:c r="K13" s="24" t="str">
        <x:v>Smiling sun</x:v>
      </x:c>
      <x:c r="L13" s="24" t="str">
        <x:v>yellow; orange; black/gray</x:v>
      </x:c>
      <x:c r="M13" s="24" t="str">
        <x:v>yellow</x:v>
      </x:c>
      <x:c r="N13" s="24" t="n">
        <x:v>3</x:v>
      </x:c>
      <x:c r="O13" s="24" t="str">
        <x:v>Large yellow circular face with smiling mouth, eyes, and many long irregular rays extending outside the circle</x:v>
      </x:c>
      <x:c r="P13" s="24" t="str">
        <x:v>sun-face transformation</x:v>
      </x:c>
      <x:c r="Q13" s="24" t="str">
        <x:v>many long rays, eyes, smile, extended line work</x:v>
      </x:c>
      <x:c r="R13" s="24" t="str">
        <x:v>One main idea</x:v>
      </x:c>
      <x:c r="S13" s="24" t="str">
        <x:v>Sun theme is common, but the unusually long irregular rays add some distinctiveness</x:v>
      </x:c>
      <x:c r="T13" s="24" t="str">
        <x:v>Yellow-dominant with orange/gray line accents</x:v>
      </x:c>
      <x:c r="U13" s="24" t="str">
        <x:v>Encourage a non-sun transformation next, such as an animal, vehicle, or imaginary object</x:v>
      </x:c>
      <x:c r="V13" s="24"/>
      <x:c r="W13" s="24"/>
      <x:c r="X13" s="24" t="str">
        <x:v>unassigned</x:v>
      </x:c>
      <x:c r="Y13" s="24" t="n">
        <x:v>2</x:v>
      </x:c>
      <x:c r="Z13" s="24" t="n">
        <x:v>4</x:v>
      </x:c>
      <x:c r="AA13" s="24" t="n">
        <x:v>3</x:v>
      </x:c>
      <x:c r="AB13" s="24" t="n">
        <x:v>2</x:v>
      </x:c>
      <x:c r="AC13" s="24" t="n">
        <x:f>SUM(Y13:AB13)</x:f>
        <x:v>11</x:v>
      </x:c>
      <x:c r="AD13" s="25" t="n">
        <x:f>AVERAGE(Y13:AB13)</x:f>
        <x:v>2.75</x:v>
      </x:c>
      <x:c r="AE13" s="24" t="str">
        <x:f>IF(AD13&gt;=4.5,"Very High",IF(AD13&gt;=3.5,"High",IF(AD13&gt;=2.5,"Moderate",IF(AD13&gt;=1.5,"Developing","Low"))))</x:f>
        <x:v>Moderate</x:v>
      </x:c>
      <x:c r="AF13" s="24" t="str">
        <x:v>Common sun idea lowers originality, while the extensive long rays and facial details increase elaboration.</x:v>
      </x:c>
      <x:c r="AG13" s="24" t="str">
        <x:v>PRELIMINARY_ONLY</x:v>
      </x:c>
      <x:c r="AH13" s="24" t="str">
        <x:v>Rechecked against latest user-uploaded image; descriptive visual coding retained; creativity scores remain preliminary pending human validation.</x:v>
      </x:c>
      <x:c r="AI13" s="24" t="str">
        <x:v>test</x:v>
      </x:c>
      <x:c r="AJ13" s="24"/>
      <x:c r="AK13" s="24"/>
      <x:c r="AL13" s="24"/>
      <x:c r="AM13" s="24"/>
      <x:c r="AN13" s="24"/>
      <x:c r="AO13" s="24" t="str">
        <x:v>descriptive_only_needs_human_scoring</x:v>
      </x:c>
      <x:c r="AP13" s="24" t="str">
        <x:f>IF(COUNT(AJ13:AM13)=4,"FINAL HUMAN-LABEL READY","PROTOTYPE ONLY - HUMAN VALIDATION REQUIRED")</x:f>
        <x:v>PROTOTYPE ONLY - HUMAN VALIDATION REQUIRED</x:v>
      </x:c>
    </x:row>
    <x:row r="14" ht="34" customHeight="1">
      <x:c r="A14" s="24" t="str">
        <x:v>S013</x:v>
      </x:c>
      <x:c r="B14" s="24" t="str">
        <x:v>PC01</x:v>
      </x:c>
      <x:c r="C14" s="24" t="str">
        <x:v>S013_PC01.jpeg</x:v>
      </x:c>
      <x:c r="D14" s="24" t="str">
        <x:v>images/picture_completion/S013_PC01.jpeg</x:v>
      </x:c>
      <x:c r="E14" s="24" t="str">
        <x:v>S013_PC01(2).jpeg</x:v>
      </x:c>
      <x:c r="F14" s="24" t="n">
        <x:v>720</x:v>
      </x:c>
      <x:c r="G14" s="24" t="n">
        <x:v>1280</x:v>
      </x:c>
      <x:c r="H14" s="25" t="n">
        <x:f>IF(G14=0,"",F14/G14)</x:f>
        <x:v>0.5625</x:v>
      </x:c>
      <x:c r="I14" s="24" t="str">
        <x:v>portrait</x:v>
      </x:c>
      <x:c r="J14" s="26" t="n">
        <x:v>50.4</x:v>
      </x:c>
      <x:c r="K14" s="24" t="str">
        <x:v>Sun with face</x:v>
      </x:c>
      <x:c r="L14" s="24" t="str">
        <x:v>yellow; black/gray</x:v>
      </x:c>
      <x:c r="M14" s="24" t="str">
        <x:v>yellow</x:v>
      </x:c>
      <x:c r="N14" s="24" t="n">
        <x:v>2</x:v>
      </x:c>
      <x:c r="O14" s="24" t="str">
        <x:v>Yellow circular face with many short triangular rays and simple facial features</x:v>
      </x:c>
      <x:c r="P14" s="24" t="str">
        <x:v>sun-face transformation</x:v>
      </x:c>
      <x:c r="Q14" s="24" t="str">
        <x:v>short rays around perimeter, eyes/nose/mouth marks</x:v>
      </x:c>
      <x:c r="R14" s="24" t="str">
        <x:v>One main idea</x:v>
      </x:c>
      <x:c r="S14" s="24" t="str">
        <x:v>Very similar to several other sun responses in the sample</x:v>
      </x:c>
      <x:c r="T14" s="24" t="str">
        <x:v>Mostly yellow with dark outlines/details</x:v>
      </x:c>
      <x:c r="U14" s="24" t="str">
        <x:v>Ask the child to use the same circle to invent something completely different</x:v>
      </x:c>
      <x:c r="V14" s="24"/>
      <x:c r="W14" s="24"/>
      <x:c r="X14" s="24" t="str">
        <x:v>unassigned</x:v>
      </x:c>
      <x:c r="Y14" s="24" t="n">
        <x:v>2</x:v>
      </x:c>
      <x:c r="Z14" s="24" t="n">
        <x:v>3</x:v>
      </x:c>
      <x:c r="AA14" s="24" t="n">
        <x:v>2</x:v>
      </x:c>
      <x:c r="AB14" s="24" t="n">
        <x:v>2</x:v>
      </x:c>
      <x:c r="AC14" s="24" t="n">
        <x:f>SUM(Y14:AB14)</x:f>
        <x:v>9</x:v>
      </x:c>
      <x:c r="AD14" s="25" t="n">
        <x:f>AVERAGE(Y14:AB14)</x:f>
        <x:v>2.25</x:v>
      </x:c>
      <x:c r="AE14" s="24" t="str">
        <x:f>IF(AD14&gt;=4.5,"Very High",IF(AD14&gt;=3.5,"High",IF(AD14&gt;=2.5,"Moderate",IF(AD14&gt;=1.5,"Developing","Low"))))</x:f>
        <x:v>Developing</x:v>
      </x:c>
      <x:c r="AF14" s="24" t="str">
        <x:v>The response is complete but the sun category is highly repeated. Moderate elaboration comes from the many perimeter rays.</x:v>
      </x:c>
      <x:c r="AG14" s="24" t="str">
        <x:v>PRELIMINARY_ONLY</x:v>
      </x:c>
      <x:c r="AH14" s="24" t="str">
        <x:v>Rechecked against latest user-uploaded image; descriptive visual coding retained; creativity scores remain preliminary pending human validation.</x:v>
      </x:c>
      <x:c r="AI14" s="24" t="str">
        <x:v>train</x:v>
      </x:c>
      <x:c r="AJ14" s="24"/>
      <x:c r="AK14" s="24"/>
      <x:c r="AL14" s="24"/>
      <x:c r="AM14" s="24"/>
      <x:c r="AN14" s="24"/>
      <x:c r="AO14" s="24" t="str">
        <x:v>descriptive_only_needs_human_scoring</x:v>
      </x:c>
      <x:c r="AP14" s="24" t="str">
        <x:f>IF(COUNT(AJ14:AM14)=4,"FINAL HUMAN-LABEL READY","PROTOTYPE ONLY - HUMAN VALIDATION REQUIRED")</x:f>
        <x:v>PROTOTYPE ONLY - HUMAN VALIDATION REQUIRED</x:v>
      </x:c>
    </x:row>
    <x:row r="15" ht="34" customHeight="1">
      <x:c r="A15" s="24" t="str">
        <x:v>S014</x:v>
      </x:c>
      <x:c r="B15" s="24" t="str">
        <x:v>PC01</x:v>
      </x:c>
      <x:c r="C15" s="24" t="str">
        <x:v>S014_PC01.jpeg</x:v>
      </x:c>
      <x:c r="D15" s="24" t="str">
        <x:v>images/picture_completion/S014_PC01.jpeg</x:v>
      </x:c>
      <x:c r="E15" s="24" t="str">
        <x:v>S014_PC01(2).jpeg</x:v>
      </x:c>
      <x:c r="F15" s="24" t="n">
        <x:v>720</x:v>
      </x:c>
      <x:c r="G15" s="24" t="n">
        <x:v>1280</x:v>
      </x:c>
      <x:c r="H15" s="25" t="n">
        <x:f>IF(G15=0,"",F15/G15)</x:f>
        <x:v>0.5625</x:v>
      </x:c>
      <x:c r="I15" s="24" t="str">
        <x:v>portrait</x:v>
      </x:c>
      <x:c r="J15" s="26" t="n">
        <x:v>57.1</x:v>
      </x:c>
      <x:c r="K15" s="24" t="str">
        <x:v>Sun with face</x:v>
      </x:c>
      <x:c r="L15" s="24" t="str">
        <x:v>yellow; red; orange; black/gray</x:v>
      </x:c>
      <x:c r="M15" s="24" t="str">
        <x:v>yellow; red</x:v>
      </x:c>
      <x:c r="N15" s="24" t="n">
        <x:v>4</x:v>
      </x:c>
      <x:c r="O15" s="24" t="str">
        <x:v>Yellow circular face with straight red rays, two colored eyes, nose/mouth-like marks</x:v>
      </x:c>
      <x:c r="P15" s="24" t="str">
        <x:v>sun-face transformation</x:v>
      </x:c>
      <x:c r="Q15" s="24" t="str">
        <x:v>multiple straight rays, facial features, colored eyes</x:v>
      </x:c>
      <x:c r="R15" s="24" t="str">
        <x:v>One main idea</x:v>
      </x:c>
      <x:c r="S15" s="24" t="str">
        <x:v>Sun theme is common; red straight rays give a small visual variation</x:v>
      </x:c>
      <x:c r="T15" s="24" t="str">
        <x:v>Yellow center with red rays and small orange details</x:v>
      </x:c>
      <x:c r="U15" s="24" t="str">
        <x:v>Invite the child to build a scene around the sun or transform the circle into another category</x:v>
      </x:c>
      <x:c r="V15" s="24"/>
      <x:c r="W15" s="24"/>
      <x:c r="X15" s="24" t="str">
        <x:v>unassigned</x:v>
      </x:c>
      <x:c r="Y15" s="24" t="n">
        <x:v>2</x:v>
      </x:c>
      <x:c r="Z15" s="24" t="n">
        <x:v>3</x:v>
      </x:c>
      <x:c r="AA15" s="24" t="n">
        <x:v>2</x:v>
      </x:c>
      <x:c r="AB15" s="24" t="n">
        <x:v>2</x:v>
      </x:c>
      <x:c r="AC15" s="24" t="n">
        <x:f>SUM(Y15:AB15)</x:f>
        <x:v>9</x:v>
      </x:c>
      <x:c r="AD15" s="25" t="n">
        <x:f>AVERAGE(Y15:AB15)</x:f>
        <x:v>2.25</x:v>
      </x:c>
      <x:c r="AE15" s="24" t="str">
        <x:f>IF(AD15&gt;=4.5,"Very High",IF(AD15&gt;=3.5,"High",IF(AD15&gt;=2.5,"Moderate",IF(AD15&gt;=1.5,"Developing","Low"))))</x:f>
        <x:v>Developing</x:v>
      </x:c>
      <x:c r="AF15" s="24" t="str">
        <x:v>Common sun interpretation with moderate facial and ray details. Color variation adds some distinctiveness but not a new concept.</x:v>
      </x:c>
      <x:c r="AG15" s="24" t="str">
        <x:v>PRELIMINARY_ONLY</x:v>
      </x:c>
      <x:c r="AH15" s="24" t="str">
        <x:v>Rechecked against latest user-uploaded image; descriptive visual coding retained; creativity scores remain preliminary pending human validation.</x:v>
      </x:c>
      <x:c r="AI15" s="24" t="str">
        <x:v>test</x:v>
      </x:c>
      <x:c r="AJ15" s="24"/>
      <x:c r="AK15" s="24"/>
      <x:c r="AL15" s="24"/>
      <x:c r="AM15" s="24"/>
      <x:c r="AN15" s="24"/>
      <x:c r="AO15" s="24" t="str">
        <x:v>descriptive_only_needs_human_scoring</x:v>
      </x:c>
      <x:c r="AP15" s="24" t="str">
        <x:f>IF(COUNT(AJ15:AM15)=4,"FINAL HUMAN-LABEL READY","PROTOTYPE ONLY - HUMAN VALIDATION REQUIRED")</x:f>
        <x:v>PROTOTYPE ONLY - HUMAN VALIDATION REQUIRED</x:v>
      </x:c>
    </x:row>
    <x:row r="16" ht="34" customHeight="1">
      <x:c r="A16" s="24" t="str">
        <x:v>S015</x:v>
      </x:c>
      <x:c r="B16" s="24" t="str">
        <x:v>PC01</x:v>
      </x:c>
      <x:c r="C16" s="24" t="str">
        <x:v>S015_PC01.jpeg</x:v>
      </x:c>
      <x:c r="D16" s="24" t="str">
        <x:v>images/picture_completion/S015_PC01.jpeg</x:v>
      </x:c>
      <x:c r="E16" s="24" t="str">
        <x:v>S015_PC01(3).jpeg</x:v>
      </x:c>
      <x:c r="F16" s="24" t="n">
        <x:v>720</x:v>
      </x:c>
      <x:c r="G16" s="24" t="n">
        <x:v>1280</x:v>
      </x:c>
      <x:c r="H16" s="25" t="n">
        <x:f>IF(G16=0,"",F16/G16)</x:f>
        <x:v>0.5625</x:v>
      </x:c>
      <x:c r="I16" s="24" t="str">
        <x:v>portrait</x:v>
      </x:c>
      <x:c r="J16" s="26" t="n">
        <x:v>49</x:v>
      </x:c>
      <x:c r="K16" s="24" t="str">
        <x:v>Abstract spiral or circular object</x:v>
      </x:c>
      <x:c r="L16" s="24" t="str">
        <x:v>yellow; gray/black</x:v>
      </x:c>
      <x:c r="M16" s="24" t="str">
        <x:v>yellow</x:v>
      </x:c>
      <x:c r="N16" s="24" t="n">
        <x:v>2</x:v>
      </x:c>
      <x:c r="O16" s="24" t="str">
        <x:v>Yellow circle contains a large spiral/concentric curved form with additional small marks</x:v>
      </x:c>
      <x:c r="P16" s="24" t="str">
        <x:v>abstract transformation</x:v>
      </x:c>
      <x:c r="Q16" s="24" t="str">
        <x:v>large internal spiral, layered curved lines, small internal marks</x:v>
      </x:c>
      <x:c r="R16" s="24" t="str">
        <x:v>One main idea</x:v>
      </x:c>
      <x:c r="S16" s="24" t="str">
        <x:v>Uncommon abstract response within this sample and not another typical sun/face</x:v>
      </x:c>
      <x:c r="T16" s="24" t="str">
        <x:v>Yellow-dominant with faint gray/black internal structure</x:v>
      </x:c>
      <x:c r="U16" s="24" t="str">
        <x:v>Ask the child to explain what the spiral/object represents and add related details or a setting</x:v>
      </x:c>
      <x:c r="V16" s="24"/>
      <x:c r="W16" s="24"/>
      <x:c r="X16" s="24" t="str">
        <x:v>unassigned</x:v>
      </x:c>
      <x:c r="Y16" s="24" t="n">
        <x:v>4</x:v>
      </x:c>
      <x:c r="Z16" s="24" t="n">
        <x:v>3</x:v>
      </x:c>
      <x:c r="AA16" s="24" t="n">
        <x:v>4</x:v>
      </x:c>
      <x:c r="AB16" s="24" t="n">
        <x:v>3</x:v>
      </x:c>
      <x:c r="AC16" s="24" t="n">
        <x:f>SUM(Y16:AB16)</x:f>
        <x:v>14</x:v>
      </x:c>
      <x:c r="AD16" s="25" t="n">
        <x:f>AVERAGE(Y16:AB16)</x:f>
        <x:v>3.5</x:v>
      </x:c>
      <x:c r="AE16" s="24" t="str">
        <x:f>IF(AD16&gt;=4.5,"Very High",IF(AD16&gt;=3.5,"High",IF(AD16&gt;=2.5,"Moderate",IF(AD16&gt;=1.5,"Developing","Low"))))</x:f>
        <x:v>High</x:v>
      </x:c>
      <x:c r="AF16" s="24" t="str">
        <x:v>Abstract spiral-like use of the circle is relatively uncommon in this sample, supporting higher originality and imagination. Exact meaning needs child explanation.</x:v>
      </x:c>
      <x:c r="AG16" s="24" t="str">
        <x:v>PRELIMINARY_ONLY</x:v>
      </x:c>
      <x:c r="AH16" s="24" t="str">
        <x:v>Rechecked against latest user-uploaded image; descriptive visual coding retained; creativity scores remain preliminary pending human validation.</x:v>
      </x:c>
      <x:c r="AI16" s="24" t="str">
        <x:v>test</x:v>
      </x:c>
      <x:c r="AJ16" s="24"/>
      <x:c r="AK16" s="24"/>
      <x:c r="AL16" s="24"/>
      <x:c r="AM16" s="24"/>
      <x:c r="AN16" s="24"/>
      <x:c r="AO16" s="24" t="str">
        <x:v>descriptive_only_needs_human_scoring</x:v>
      </x:c>
      <x:c r="AP16" s="24" t="str">
        <x:f>IF(COUNT(AJ16:AM16)=4,"FINAL HUMAN-LABEL READY","PROTOTYPE ONLY - HUMAN VALIDATION REQUIRED")</x:f>
        <x:v>PROTOTYPE ONLY - HUMAN VALIDATION REQUIRED</x:v>
      </x:c>
    </x:row>
    <x:row r="17" ht="34" customHeight="1">
      <x:c r="A17" s="24" t="str">
        <x:v>S016</x:v>
      </x:c>
      <x:c r="B17" s="24" t="str">
        <x:v>PC01</x:v>
      </x:c>
      <x:c r="C17" s="24" t="str">
        <x:v>S016_PC01.jpeg</x:v>
      </x:c>
      <x:c r="D17" s="24" t="str">
        <x:v>images/picture_completion/S016_PC01.jpeg</x:v>
      </x:c>
      <x:c r="E17" s="24" t="str">
        <x:v>S016_PC01(3).jpeg</x:v>
      </x:c>
      <x:c r="F17" s="24" t="n">
        <x:v>720</x:v>
      </x:c>
      <x:c r="G17" s="24" t="n">
        <x:v>1280</x:v>
      </x:c>
      <x:c r="H17" s="25" t="n">
        <x:f>IF(G17=0,"",F17/G17)</x:f>
        <x:v>0.5625</x:v>
      </x:c>
      <x:c r="I17" s="24" t="str">
        <x:v>portrait</x:v>
      </x:c>
      <x:c r="J17" s="26" t="n">
        <x:v>45.3</x:v>
      </x:c>
      <x:c r="K17" s="24" t="str">
        <x:v>Simple face or character</x:v>
      </x:c>
      <x:c r="L17" s="24" t="str">
        <x:v>yellow; black/gray</x:v>
      </x:c>
      <x:c r="M17" s="24" t="str">
        <x:v>yellow</x:v>
      </x:c>
      <x:c r="N17" s="24" t="n">
        <x:v>2</x:v>
      </x:c>
      <x:c r="O17" s="24" t="str">
        <x:v>Yellow circular face with two eyes, small nose/mouth and faint sketches outside the circle</x:v>
      </x:c>
      <x:c r="P17" s="24" t="str">
        <x:v>face transformation</x:v>
      </x:c>
      <x:c r="Q17" s="24" t="str">
        <x:v>basic facial features, faint exterior additions</x:v>
      </x:c>
      <x:c r="R17" s="24" t="str">
        <x:v>One main idea</x:v>
      </x:c>
      <x:c r="S17" s="24" t="str">
        <x:v>Simple face category is repeated in the sample</x:v>
      </x:c>
      <x:c r="T17" s="24" t="str">
        <x:v>Mostly yellow with light pencil/gray details</x:v>
      </x:c>
      <x:c r="U17" s="24" t="str">
        <x:v>Encourage adding a body, setting, accessories, or converting the circle into a different object</x:v>
      </x:c>
      <x:c r="V17" s="24"/>
      <x:c r="W17" s="24"/>
      <x:c r="X17" s="24" t="str">
        <x:v>unassigned</x:v>
      </x:c>
      <x:c r="Y17" s="24" t="n">
        <x:v>2</x:v>
      </x:c>
      <x:c r="Z17" s="24" t="n">
        <x:v>2</x:v>
      </x:c>
      <x:c r="AA17" s="24" t="n">
        <x:v>2</x:v>
      </x:c>
      <x:c r="AB17" s="24" t="n">
        <x:v>2</x:v>
      </x:c>
      <x:c r="AC17" s="24" t="n">
        <x:f>SUM(Y17:AB17)</x:f>
        <x:v>8</x:v>
      </x:c>
      <x:c r="AD17" s="25" t="n">
        <x:f>AVERAGE(Y17:AB17)</x:f>
        <x:v>2</x:v>
      </x:c>
      <x:c r="AE17" s="24" t="str">
        <x:f>IF(AD17&gt;=4.5,"Very High",IF(AD17&gt;=3.5,"High",IF(AD17&gt;=2.5,"Moderate",IF(AD17&gt;=1.5,"Developing","Low"))))</x:f>
        <x:v>Developing</x:v>
      </x:c>
      <x:c r="AF17" s="24" t="str">
        <x:v>A simple face transformation with limited added detail. The core idea is common and the outside additions are faint.</x:v>
      </x:c>
      <x:c r="AG17" s="24" t="str">
        <x:v>PRELIMINARY_ONLY</x:v>
      </x:c>
      <x:c r="AH17" s="24" t="str">
        <x:v>Rechecked against latest user-uploaded image; descriptive visual coding retained; creativity scores remain preliminary pending human validation.</x:v>
      </x:c>
      <x:c r="AI17" s="24" t="str">
        <x:v>train</x:v>
      </x:c>
      <x:c r="AJ17" s="24"/>
      <x:c r="AK17" s="24"/>
      <x:c r="AL17" s="24"/>
      <x:c r="AM17" s="24"/>
      <x:c r="AN17" s="24"/>
      <x:c r="AO17" s="24" t="str">
        <x:v>descriptive_only_needs_human_scoring</x:v>
      </x:c>
      <x:c r="AP17" s="24" t="str">
        <x:f>IF(COUNT(AJ17:AM17)=4,"FINAL HUMAN-LABEL READY","PROTOTYPE ONLY - HUMAN VALIDATION REQUIRED")</x:f>
        <x:v>PROTOTYPE ONLY - HUMAN VALIDATION REQUIRED</x:v>
      </x:c>
    </x:row>
    <x:row r="18" ht="34" customHeight="1">
      <x:c r="A18" s="24" t="str">
        <x:v>S017</x:v>
      </x:c>
      <x:c r="B18" s="24" t="str">
        <x:v>PC01</x:v>
      </x:c>
      <x:c r="C18" s="24" t="str">
        <x:v>S017_PC01.jpeg</x:v>
      </x:c>
      <x:c r="D18" s="24" t="str">
        <x:v>images/picture_completion/S017_PC01.jpeg</x:v>
      </x:c>
      <x:c r="E18" s="24" t="str">
        <x:v>S017_PC01(3).jpeg</x:v>
      </x:c>
      <x:c r="F18" s="24" t="n">
        <x:v>720</x:v>
      </x:c>
      <x:c r="G18" s="24" t="n">
        <x:v>1280</x:v>
      </x:c>
      <x:c r="H18" s="25" t="n">
        <x:f>IF(G18=0,"",F18/G18)</x:f>
        <x:v>0.5625</x:v>
      </x:c>
      <x:c r="I18" s="24" t="str">
        <x:v>portrait</x:v>
      </x:c>
      <x:c r="J18" s="26" t="n">
        <x:v>53.3</x:v>
      </x:c>
      <x:c r="K18" s="24" t="str">
        <x:v>Sun-like face</x:v>
      </x:c>
      <x:c r="L18" s="24" t="str">
        <x:v>yellow; gray/black; red/brown</x:v>
      </x:c>
      <x:c r="M18" s="24" t="str">
        <x:v>yellow</x:v>
      </x:c>
      <x:c r="N18" s="24" t="n">
        <x:v>3</x:v>
      </x:c>
      <x:c r="O18" s="24" t="str">
        <x:v>Yellow circle with many thin straight rays around it and simple facial marks with small red/brown accents</x:v>
      </x:c>
      <x:c r="P18" s="24" t="str">
        <x:v>sun-face transformation</x:v>
      </x:c>
      <x:c r="Q18" s="24" t="str">
        <x:v>numerous thin rays, facial marks, small colored eye details</x:v>
      </x:c>
      <x:c r="R18" s="24" t="str">
        <x:v>One main idea</x:v>
      </x:c>
      <x:c r="S18" s="24" t="str">
        <x:v>Sun theme is repeated; thin evenly distributed rays distinguish the visual style</x:v>
      </x:c>
      <x:c r="T18" s="24" t="str">
        <x:v>Yellow-dominant with gray rays and small red/brown accents</x:v>
      </x:c>
      <x:c r="U18" s="24" t="str">
        <x:v>Ask the child to make a second picture from the circle without using a sun or face</x:v>
      </x:c>
      <x:c r="V18" s="24"/>
      <x:c r="W18" s="24"/>
      <x:c r="X18" s="24" t="str">
        <x:v>unassigned</x:v>
      </x:c>
      <x:c r="Y18" s="24" t="n">
        <x:v>2</x:v>
      </x:c>
      <x:c r="Z18" s="24" t="n">
        <x:v>3</x:v>
      </x:c>
      <x:c r="AA18" s="24" t="n">
        <x:v>2</x:v>
      </x:c>
      <x:c r="AB18" s="24" t="n">
        <x:v>2</x:v>
      </x:c>
      <x:c r="AC18" s="24" t="n">
        <x:f>SUM(Y18:AB18)</x:f>
        <x:v>9</x:v>
      </x:c>
      <x:c r="AD18" s="25" t="n">
        <x:f>AVERAGE(Y18:AB18)</x:f>
        <x:v>2.25</x:v>
      </x:c>
      <x:c r="AE18" s="24" t="str">
        <x:f>IF(AD18&gt;=4.5,"Very High",IF(AD18&gt;=3.5,"High",IF(AD18&gt;=2.5,"Moderate",IF(AD18&gt;=1.5,"Developing","Low"))))</x:f>
        <x:v>Developing</x:v>
      </x:c>
      <x:c r="AF18" s="24" t="str">
        <x:v>Common sun concept with moderate elaboration through numerous rays. Limited conceptual novelty relative to peers.</x:v>
      </x:c>
      <x:c r="AG18" s="24" t="str">
        <x:v>PRELIMINARY_ONLY</x:v>
      </x:c>
      <x:c r="AH18" s="24" t="str">
        <x:v>Rechecked against latest user-uploaded image; descriptive visual coding retained; creativity scores remain preliminary pending human validation.</x:v>
      </x:c>
      <x:c r="AI18" s="24" t="str">
        <x:v>train</x:v>
      </x:c>
      <x:c r="AJ18" s="24"/>
      <x:c r="AK18" s="24"/>
      <x:c r="AL18" s="24"/>
      <x:c r="AM18" s="24"/>
      <x:c r="AN18" s="24"/>
      <x:c r="AO18" s="24" t="str">
        <x:v>descriptive_only_needs_human_scoring</x:v>
      </x:c>
      <x:c r="AP18" s="24" t="str">
        <x:f>IF(COUNT(AJ18:AM18)=4,"FINAL HUMAN-LABEL READY","PROTOTYPE ONLY - HUMAN VALIDATION REQUIRED")</x:f>
        <x:v>PROTOTYPE ONLY - HUMAN VALIDATION REQUIRED</x:v>
      </x:c>
    </x:row>
    <x:row r="19" ht="34" customHeight="1">
      <x:c r="A19" s="24" t="str">
        <x:v>S018</x:v>
      </x:c>
      <x:c r="B19" s="24" t="str">
        <x:v>PC01</x:v>
      </x:c>
      <x:c r="C19" s="24" t="str">
        <x:v>S018_PC01.jpeg</x:v>
      </x:c>
      <x:c r="D19" s="24" t="str">
        <x:v>images/picture_completion/S018_PC01.jpeg</x:v>
      </x:c>
      <x:c r="E19" s="24" t="str">
        <x:v>S018_PC01(3).jpeg</x:v>
      </x:c>
      <x:c r="F19" s="24" t="n">
        <x:v>720</x:v>
      </x:c>
      <x:c r="G19" s="24" t="n">
        <x:v>1280</x:v>
      </x:c>
      <x:c r="H19" s="25" t="n">
        <x:f>IF(G19=0,"",F19/G19)</x:f>
        <x:v>0.5625</x:v>
      </x:c>
      <x:c r="I19" s="24" t="str">
        <x:v>portrait</x:v>
      </x:c>
      <x:c r="J19" s="26" t="n">
        <x:v>97.6</x:v>
      </x:c>
      <x:c r="K19" s="24" t="str">
        <x:v>Full human character</x:v>
      </x:c>
      <x:c r="L19" s="24" t="str">
        <x:v>yellow; black; pink; purple/maroon; blue; brown; orange</x:v>
      </x:c>
      <x:c r="M19" s="24" t="str">
        <x:v>yellow; pink; blue</x:v>
      </x:c>
      <x:c r="N19" s="24" t="n">
        <x:v>7</x:v>
      </x:c>
      <x:c r="O19" s="24" t="str">
        <x:v>Circle used as a large head; hair, eyes, mouth, torso, arms, trousers and shoes added to create a complete person</x:v>
      </x:c>
      <x:c r="P19" s="24" t="str">
        <x:v>human-character transformation</x:v>
      </x:c>
      <x:c r="Q19" s="24" t="str">
        <x:v>hair, facial features, shirt, sleeves, trousers, shoes, full body</x:v>
      </x:c>
      <x:c r="R19" s="24" t="str">
        <x:v>One main idea with many coordinated sub-elements</x:v>
      </x:c>
      <x:c r="S19" s="24" t="str">
        <x:v>Highly distinctive in this sample because the circle becomes part of a complete full-body person</x:v>
      </x:c>
      <x:c r="T19" s="24" t="str">
        <x:v>High color variety across face, clothing and shoes</x:v>
      </x:c>
      <x:c r="U19" s="24" t="str">
        <x:v>Ask the child to name the character, describe a story, and design another character from a different shape</x:v>
      </x:c>
      <x:c r="V19" s="24"/>
      <x:c r="W19" s="24"/>
      <x:c r="X19" s="24" t="str">
        <x:v>unassigned</x:v>
      </x:c>
      <x:c r="Y19" s="24" t="n">
        <x:v>5</x:v>
      </x:c>
      <x:c r="Z19" s="24" t="n">
        <x:v>5</x:v>
      </x:c>
      <x:c r="AA19" s="24" t="n">
        <x:v>4</x:v>
      </x:c>
      <x:c r="AB19" s="24" t="n">
        <x:v>3</x:v>
      </x:c>
      <x:c r="AC19" s="24" t="n">
        <x:f>SUM(Y19:AB19)</x:f>
        <x:v>17</x:v>
      </x:c>
      <x:c r="AD19" s="25" t="n">
        <x:f>AVERAGE(Y19:AB19)</x:f>
        <x:v>4.25</x:v>
      </x:c>
      <x:c r="AE19" s="24" t="str">
        <x:f>IF(AD19&gt;=4.5,"Very High",IF(AD19&gt;=3.5,"High",IF(AD19&gt;=2.5,"Moderate",IF(AD19&gt;=1.5,"Developing","Low"))))</x:f>
        <x:v>High</x:v>
      </x:c>
      <x:c r="AF19" s="24" t="str">
        <x:v>One of the most elaborated and distinctive responses: the circle is integrated into a complete human figure with several clothing and body details.</x:v>
      </x:c>
      <x:c r="AG19" s="24" t="str">
        <x:v>PRELIMINARY_ONLY</x:v>
      </x:c>
      <x:c r="AH19" s="24" t="str">
        <x:v>Rechecked against latest user-uploaded image; descriptive visual coding retained; creativity scores remain preliminary pending human validation.</x:v>
      </x:c>
      <x:c r="AI19" s="24" t="str">
        <x:v>test</x:v>
      </x:c>
      <x:c r="AJ19" s="24"/>
      <x:c r="AK19" s="24"/>
      <x:c r="AL19" s="24"/>
      <x:c r="AM19" s="24"/>
      <x:c r="AN19" s="24"/>
      <x:c r="AO19" s="24" t="str">
        <x:v>descriptive_only_needs_human_scoring</x:v>
      </x:c>
      <x:c r="AP19" s="24" t="str">
        <x:f>IF(COUNT(AJ19:AM19)=4,"FINAL HUMAN-LABEL READY","PROTOTYPE ONLY - HUMAN VALIDATION REQUIRED")</x:f>
        <x:v>PROTOTYPE ONLY - HUMAN VALIDATION REQUIRED</x:v>
      </x:c>
    </x:row>
    <x:row r="20" ht="34" customHeight="1">
      <x:c r="A20" s="24" t="str">
        <x:v>S019</x:v>
      </x:c>
      <x:c r="B20" s="24" t="str">
        <x:v>PC01</x:v>
      </x:c>
      <x:c r="C20" s="24" t="str">
        <x:v>S019_PC01.jpeg</x:v>
      </x:c>
      <x:c r="D20" s="24" t="str">
        <x:v>images/picture_completion/S019_PC01.jpeg</x:v>
      </x:c>
      <x:c r="E20" s="24" t="str">
        <x:v>S019_PC01(3).jpeg</x:v>
      </x:c>
      <x:c r="F20" s="24" t="n">
        <x:v>720</x:v>
      </x:c>
      <x:c r="G20" s="24" t="n">
        <x:v>1280</x:v>
      </x:c>
      <x:c r="H20" s="25" t="n">
        <x:f>IF(G20=0,"",F20/G20)</x:f>
        <x:v>0.5625</x:v>
      </x:c>
      <x:c r="I20" s="24" t="str">
        <x:v>portrait</x:v>
      </x:c>
      <x:c r="J20" s="26" t="n">
        <x:v>42.7</x:v>
      </x:c>
      <x:c r="K20" s="24" t="str">
        <x:v>Small figure/object scene inside circle</x:v>
      </x:c>
      <x:c r="L20" s="24" t="str">
        <x:v>yellow; orange/brown; black/gray</x:v>
      </x:c>
      <x:c r="M20" s="24" t="str">
        <x:v>yellow</x:v>
      </x:c>
      <x:c r="N20" s="24" t="n">
        <x:v>3</x:v>
      </x:c>
      <x:c r="O20" s="24" t="str">
        <x:v>Yellow circle contains a small central figure or object with several tiny circular marks; exact subject is unclear</x:v>
      </x:c>
      <x:c r="P20" s="24" t="str">
        <x:v>internal scene/object transformation</x:v>
      </x:c>
      <x:c r="Q20" s="24" t="str">
        <x:v>central figure/object, several small surrounding marks, internal composition</x:v>
      </x:c>
      <x:c r="R20" s="24" t="str">
        <x:v>One main idea; exact category unconfirmed</x:v>
      </x:c>
      <x:c r="S20" s="24" t="str">
        <x:v>Relatively uncommon because it uses the circle as a container for a small internal scene rather than a simple sun/face</x:v>
      </x:c>
      <x:c r="T20" s="24" t="str">
        <x:v>Yellow-dominant with orange/brown and gray details</x:v>
      </x:c>
      <x:c r="U20" s="24" t="str">
        <x:v>Ask the child to explain the central object/figure before final scoring and then add a related background/story</x:v>
      </x:c>
      <x:c r="V20" s="24"/>
      <x:c r="W20" s="24"/>
      <x:c r="X20" s="24" t="str">
        <x:v>unassigned</x:v>
      </x:c>
      <x:c r="Y20" s="24" t="n">
        <x:v>4</x:v>
      </x:c>
      <x:c r="Z20" s="24" t="n">
        <x:v>3</x:v>
      </x:c>
      <x:c r="AA20" s="24" t="n">
        <x:v>4</x:v>
      </x:c>
      <x:c r="AB20" s="24" t="n">
        <x:v>3</x:v>
      </x:c>
      <x:c r="AC20" s="24" t="n">
        <x:f>SUM(Y20:AB20)</x:f>
        <x:v>14</x:v>
      </x:c>
      <x:c r="AD20" s="25" t="n">
        <x:f>AVERAGE(Y20:AB20)</x:f>
        <x:v>3.5</x:v>
      </x:c>
      <x:c r="AE20" s="24" t="str">
        <x:f>IF(AD20&gt;=4.5,"Very High",IF(AD20&gt;=3.5,"High",IF(AD20&gt;=2.5,"Moderate",IF(AD20&gt;=1.5,"Developing","Low"))))</x:f>
        <x:v>High</x:v>
      </x:c>
      <x:c r="AF20" s="24" t="str">
        <x:v>The internal scene/object approach is less common than the repeated sun responses, supporting higher preliminary originality and imagination. Meaning should be confirmed.</x:v>
      </x:c>
      <x:c r="AG20" s="24" t="str">
        <x:v>PRELIMINARY_ONLY</x:v>
      </x:c>
      <x:c r="AH20" s="24" t="str">
        <x:v>Rechecked against latest user-uploaded image; descriptive visual coding retained; creativity scores remain preliminary pending human validation.</x:v>
      </x:c>
      <x:c r="AI20" s="24" t="str">
        <x:v>train</x:v>
      </x:c>
      <x:c r="AJ20" s="24"/>
      <x:c r="AK20" s="24"/>
      <x:c r="AL20" s="24"/>
      <x:c r="AM20" s="24"/>
      <x:c r="AN20" s="24"/>
      <x:c r="AO20" s="24" t="str">
        <x:v>descriptive_only_needs_human_scoring</x:v>
      </x:c>
      <x:c r="AP20" s="24" t="str">
        <x:f>IF(COUNT(AJ20:AM20)=4,"FINAL HUMAN-LABEL READY","PROTOTYPE ONLY - HUMAN VALIDATION REQUIRED")</x:f>
        <x:v>PROTOTYPE ONLY - HUMAN VALIDATION REQUIRED</x:v>
      </x:c>
    </x:row>
    <x:row r="21" ht="34" customHeight="1">
      <x:c r="A21" s="24" t="str">
        <x:v>S020</x:v>
      </x:c>
      <x:c r="B21" s="24" t="str">
        <x:v>PC01</x:v>
      </x:c>
      <x:c r="C21" s="24" t="str">
        <x:v>S020_PC01.jpeg</x:v>
      </x:c>
      <x:c r="D21" s="24" t="str">
        <x:v>images/picture_completion/S020_PC01.jpeg</x:v>
      </x:c>
      <x:c r="E21" s="24" t="str">
        <x:v>S020_PC01(3).jpeg</x:v>
      </x:c>
      <x:c r="F21" s="24" t="n">
        <x:v>720</x:v>
      </x:c>
      <x:c r="G21" s="24" t="n">
        <x:v>1280</x:v>
      </x:c>
      <x:c r="H21" s="25" t="n">
        <x:f>IF(G21=0,"",F21/G21)</x:f>
        <x:v>0.5625</x:v>
      </x:c>
      <x:c r="I21" s="24" t="str">
        <x:v>portrait</x:v>
      </x:c>
      <x:c r="J21" s="26" t="n">
        <x:v>87.7</x:v>
      </x:c>
      <x:c r="K21" s="24" t="str">
        <x:v>Decorative sun or layered circular sun</x:v>
      </x:c>
      <x:c r="L21" s="24" t="str">
        <x:v>red; yellow; orange</x:v>
      </x:c>
      <x:c r="M21" s="24" t="str">
        <x:v>red; yellow</x:v>
      </x:c>
      <x:c r="N21" s="24" t="n">
        <x:v>3</x:v>
      </x:c>
      <x:c r="O21" s="24" t="str">
        <x:v>Circle developed into a layered sun with red outer ring, yellow inner area and many alternating pointed rays</x:v>
      </x:c>
      <x:c r="P21" s="24" t="str">
        <x:v>decorative sun transformation</x:v>
      </x:c>
      <x:c r="Q21" s="24" t="str">
        <x:v>layered circular bands, many pointed rays, repeated color pattern</x:v>
      </x:c>
      <x:c r="R21" s="24" t="str">
        <x:v>One main idea</x:v>
      </x:c>
      <x:c r="S21" s="24" t="str">
        <x:v>Sun category is common, but the layered red-yellow construction is more decorative than most</x:v>
      </x:c>
      <x:c r="T21" s="24" t="str">
        <x:v>Strong red-yellow contrast with orange accents</x:v>
      </x:c>
      <x:c r="U21" s="24" t="str">
        <x:v>Encourage a different circle transformation and ask the child to invent a setting or story for this sun</x:v>
      </x:c>
      <x:c r="V21" s="24"/>
      <x:c r="W21" s="24"/>
      <x:c r="X21" s="24" t="str">
        <x:v>unassigned</x:v>
      </x:c>
      <x:c r="Y21" s="24" t="n">
        <x:v>3</x:v>
      </x:c>
      <x:c r="Z21" s="24" t="n">
        <x:v>4</x:v>
      </x:c>
      <x:c r="AA21" s="24" t="n">
        <x:v>3</x:v>
      </x:c>
      <x:c r="AB21" s="24" t="n">
        <x:v>2</x:v>
      </x:c>
      <x:c r="AC21" s="24" t="n">
        <x:f>SUM(Y21:AB21)</x:f>
        <x:v>12</x:v>
      </x:c>
      <x:c r="AD21" s="25" t="n">
        <x:f>AVERAGE(Y21:AB21)</x:f>
        <x:v>3</x:v>
      </x:c>
      <x:c r="AE21" s="24" t="str">
        <x:f>IF(AD21&gt;=4.5,"Very High",IF(AD21&gt;=3.5,"High",IF(AD21&gt;=2.5,"Moderate",IF(AD21&gt;=1.5,"Developing","Low"))))</x:f>
        <x:v>Moderate</x:v>
      </x:c>
      <x:c r="AF21" s="24" t="str">
        <x:v>Although the sun concept is common, layered rings and repeated pointed rays show stronger elaboration and some stylistic distinctiveness.</x:v>
      </x:c>
      <x:c r="AG21" s="24" t="str">
        <x:v>PRELIMINARY_ONLY</x:v>
      </x:c>
      <x:c r="AH21" s="24" t="str">
        <x:v>Rechecked against latest user-uploaded image; descriptive visual coding retained; creativity scores remain preliminary pending human validation.</x:v>
      </x:c>
      <x:c r="AI21" s="24" t="str">
        <x:v>train</x:v>
      </x:c>
      <x:c r="AJ21" s="24"/>
      <x:c r="AK21" s="24"/>
      <x:c r="AL21" s="24"/>
      <x:c r="AM21" s="24"/>
      <x:c r="AN21" s="24"/>
      <x:c r="AO21" s="24" t="str">
        <x:v>descriptive_only_needs_human_scoring</x:v>
      </x:c>
      <x:c r="AP21" s="24" t="str">
        <x:f>IF(COUNT(AJ21:AM21)=4,"FINAL HUMAN-LABEL READY","PROTOTYPE ONLY - HUMAN VALIDATION REQUIRED")</x:f>
        <x:v>PROTOTYPE ONLY - HUMAN VALIDATION REQUIRED</x:v>
      </x:c>
    </x:row>
    <x:row r="22" ht="34" customHeight="1">
      <x:c r="A22" s="24" t="str">
        <x:v>S021</x:v>
      </x:c>
      <x:c r="B22" s="24" t="str">
        <x:v>PC01</x:v>
      </x:c>
      <x:c r="C22" s="24" t="str">
        <x:v>S021_PC01.jpeg</x:v>
      </x:c>
      <x:c r="D22" s="24" t="str">
        <x:v>images/picture_completion/S021_PC01.jpeg</x:v>
      </x:c>
      <x:c r="E22" s="24" t="str">
        <x:v>S021_PC01(2).jpeg</x:v>
      </x:c>
      <x:c r="F22" s="24" t="n">
        <x:v>720</x:v>
      </x:c>
      <x:c r="G22" s="24" t="n">
        <x:v>1280</x:v>
      </x:c>
      <x:c r="H22" s="25" t="n">
        <x:f>IF(G22=0,"",F22/G22)</x:f>
        <x:v>0.5625</x:v>
      </x:c>
      <x:c r="I22" s="24" t="str">
        <x:v>portrait</x:v>
      </x:c>
      <x:c r="J22" s="26" t="n">
        <x:v>51.3</x:v>
      </x:c>
      <x:c r="K22" s="24" t="str">
        <x:v>Red/orange face or character</x:v>
      </x:c>
      <x:c r="L22" s="24" t="str">
        <x:v>red; orange; green; black</x:v>
      </x:c>
      <x:c r="M22" s="24" t="str">
        <x:v>red; orange</x:v>
      </x:c>
      <x:c r="N22" s="24" t="n">
        <x:v>4</x:v>
      </x:c>
      <x:c r="O22" s="24" t="str">
        <x:v>Circle becomes a face with red background, orange lower section, two eyes, mouth/teeth and small green nose-like detail</x:v>
      </x:c>
      <x:c r="P22" s="24" t="str">
        <x:v>face/character transformation</x:v>
      </x:c>
      <x:c r="Q22" s="24" t="str">
        <x:v>two-tone fill, eyes, mouth/teeth, nose-like detail</x:v>
      </x:c>
      <x:c r="R22" s="24" t="str">
        <x:v>One main idea</x:v>
      </x:c>
      <x:c r="S22" s="24" t="str">
        <x:v>Face category is repeated, but the red-orange split and visible teeth make it somewhat distinctive</x:v>
      </x:c>
      <x:c r="T22" s="24" t="str">
        <x:v>Red-dominant with orange, green and black accents</x:v>
      </x:c>
      <x:c r="U22" s="24" t="str">
        <x:v>Ask the child to name the character and invent a different circle-based object or animal</x:v>
      </x:c>
      <x:c r="V22" s="24"/>
      <x:c r="W22" s="24"/>
      <x:c r="X22" s="24" t="str">
        <x:v>unassigned</x:v>
      </x:c>
      <x:c r="Y22" s="24" t="n">
        <x:v>3</x:v>
      </x:c>
      <x:c r="Z22" s="24" t="n">
        <x:v>4</x:v>
      </x:c>
      <x:c r="AA22" s="24" t="n">
        <x:v>3</x:v>
      </x:c>
      <x:c r="AB22" s="24" t="n">
        <x:v>2</x:v>
      </x:c>
      <x:c r="AC22" s="24" t="n">
        <x:f>SUM(Y22:AB22)</x:f>
        <x:v>12</x:v>
      </x:c>
      <x:c r="AD22" s="25" t="n">
        <x:f>AVERAGE(Y22:AB22)</x:f>
        <x:v>3</x:v>
      </x:c>
      <x:c r="AE22" s="24" t="str">
        <x:f>IF(AD22&gt;=4.5,"Very High",IF(AD22&gt;=3.5,"High",IF(AD22&gt;=2.5,"Moderate",IF(AD22&gt;=1.5,"Developing","Low"))))</x:f>
        <x:v>Moderate</x:v>
      </x:c>
      <x:c r="AF22" s="24" t="str">
        <x:v>Moderate originality within the full sample; stronger elaboration from facial details and contrasting color regions.</x:v>
      </x:c>
      <x:c r="AG22" s="24" t="str">
        <x:v>PRELIMINARY_ONLY</x:v>
      </x:c>
      <x:c r="AH22" s="24" t="str">
        <x:v>Visual review of user-uploaded drawing; color categories approximate; creativity scores are preliminary only.</x:v>
      </x:c>
      <x:c r="AI22" s="24" t="str">
        <x:v>train</x:v>
      </x:c>
      <x:c r="AJ22" s="24"/>
      <x:c r="AK22" s="24"/>
      <x:c r="AL22" s="24"/>
      <x:c r="AM22" s="24"/>
      <x:c r="AN22" s="24"/>
      <x:c r="AO22" s="24" t="str">
        <x:v>descriptive_only_needs_human_scoring</x:v>
      </x:c>
      <x:c r="AP22" s="24" t="str">
        <x:f>IF(COUNT(AJ22:AM22)=4,"FINAL HUMAN-LABEL READY","PROTOTYPE ONLY - HUMAN VALIDATION REQUIRED")</x:f>
        <x:v>PROTOTYPE ONLY - HUMAN VALIDATION REQUIRED</x:v>
      </x:c>
    </x:row>
    <x:row r="23" ht="34" customHeight="1">
      <x:c r="A23" s="24" t="str">
        <x:v>S022</x:v>
      </x:c>
      <x:c r="B23" s="24" t="str">
        <x:v>PC01</x:v>
      </x:c>
      <x:c r="C23" s="24" t="str">
        <x:v>S022_PC01.jpeg</x:v>
      </x:c>
      <x:c r="D23" s="24" t="str">
        <x:v>images/picture_completion/S022_PC01.jpeg</x:v>
      </x:c>
      <x:c r="E23" s="24" t="str">
        <x:v>S022_PC01(2).jpeg</x:v>
      </x:c>
      <x:c r="F23" s="24" t="n">
        <x:v>720</x:v>
      </x:c>
      <x:c r="G23" s="24" t="n">
        <x:v>1280</x:v>
      </x:c>
      <x:c r="H23" s="25" t="n">
        <x:f>IF(G23=0,"",F23/G23)</x:f>
        <x:v>0.5625</x:v>
      </x:c>
      <x:c r="I23" s="24" t="str">
        <x:v>portrait</x:v>
      </x:c>
      <x:c r="J23" s="26" t="n">
        <x:v>57.6</x:v>
      </x:c>
      <x:c r="K23" s="24" t="str">
        <x:v>Yellow-and-black face/character</x:v>
      </x:c>
      <x:c r="L23" s="24" t="str">
        <x:v>yellow; black; red</x:v>
      </x:c>
      <x:c r="M23" s="24" t="str">
        <x:v>yellow; black</x:v>
      </x:c>
      <x:c r="N23" s="24" t="n">
        <x:v>3</x:v>
      </x:c>
      <x:c r="O23" s="24" t="str">
        <x:v>Circle becomes a face/character with large black lower side regions, two eyes and a small red mouth/mark</x:v>
      </x:c>
      <x:c r="P23" s="24" t="str">
        <x:v>contrasting face/character transformation</x:v>
      </x:c>
      <x:c r="Q23" s="24" t="str">
        <x:v>large black sections, eyes, small mouth/mark</x:v>
      </x:c>
      <x:c r="R23" s="24" t="str">
        <x:v>One main idea</x:v>
      </x:c>
      <x:c r="S23" s="24" t="str">
        <x:v>The strong black framing is visually distinctive, though the face category itself is common</x:v>
      </x:c>
      <x:c r="T23" s="24" t="str">
        <x:v>High yellow-black contrast with small red accent</x:v>
      </x:c>
      <x:c r="U23" s="24" t="str">
        <x:v>Encourage the child to add a body, setting, or transform the next circle into a non-face idea</x:v>
      </x:c>
      <x:c r="V23" s="24"/>
      <x:c r="W23" s="24"/>
      <x:c r="X23" s="24" t="str">
        <x:v>unassigned</x:v>
      </x:c>
      <x:c r="Y23" s="24" t="n">
        <x:v>3</x:v>
      </x:c>
      <x:c r="Z23" s="24" t="n">
        <x:v>3</x:v>
      </x:c>
      <x:c r="AA23" s="24" t="n">
        <x:v>3</x:v>
      </x:c>
      <x:c r="AB23" s="24" t="n">
        <x:v>2</x:v>
      </x:c>
      <x:c r="AC23" s="24" t="n">
        <x:f>SUM(Y23:AB23)</x:f>
        <x:v>11</x:v>
      </x:c>
      <x:c r="AD23" s="25" t="n">
        <x:f>AVERAGE(Y23:AB23)</x:f>
        <x:v>2.75</x:v>
      </x:c>
      <x:c r="AE23" s="24" t="str">
        <x:f>IF(AD23&gt;=4.5,"Very High",IF(AD23&gt;=3.5,"High",IF(AD23&gt;=2.5,"Moderate",IF(AD23&gt;=1.5,"Developing","Low"))))</x:f>
        <x:v>Moderate</x:v>
      </x:c>
      <x:c r="AF23" s="24" t="str">
        <x:v>Common face concept with a distinctive black/yellow composition. Moderate detail and transformation.</x:v>
      </x:c>
      <x:c r="AG23" s="24" t="str">
        <x:v>PRELIMINARY_ONLY</x:v>
      </x:c>
      <x:c r="AH23" s="24" t="str">
        <x:v>Visual review of user-uploaded drawing; color categories approximate; creativity scores are preliminary only.</x:v>
      </x:c>
      <x:c r="AI23" s="24" t="str">
        <x:v>train</x:v>
      </x:c>
      <x:c r="AJ23" s="24"/>
      <x:c r="AK23" s="24"/>
      <x:c r="AL23" s="24"/>
      <x:c r="AM23" s="24"/>
      <x:c r="AN23" s="24"/>
      <x:c r="AO23" s="24" t="str">
        <x:v>descriptive_only_needs_human_scoring</x:v>
      </x:c>
      <x:c r="AP23" s="24" t="str">
        <x:f>IF(COUNT(AJ23:AM23)=4,"FINAL HUMAN-LABEL READY","PROTOTYPE ONLY - HUMAN VALIDATION REQUIRED")</x:f>
        <x:v>PROTOTYPE ONLY - HUMAN VALIDATION REQUIRED</x:v>
      </x:c>
    </x:row>
    <x:row r="24" ht="34" customHeight="1">
      <x:c r="A24" s="24" t="str">
        <x:v>S023</x:v>
      </x:c>
      <x:c r="B24" s="24" t="str">
        <x:v>PC01</x:v>
      </x:c>
      <x:c r="C24" s="24" t="str">
        <x:v>S023_PC01.jpeg</x:v>
      </x:c>
      <x:c r="D24" s="24" t="str">
        <x:v>images/picture_completion/S023_PC01.jpeg</x:v>
      </x:c>
      <x:c r="E24" s="24" t="str">
        <x:v>S023_PC01(2).jpeg</x:v>
      </x:c>
      <x:c r="F24" s="24" t="n">
        <x:v>720</x:v>
      </x:c>
      <x:c r="G24" s="24" t="n">
        <x:v>1280</x:v>
      </x:c>
      <x:c r="H24" s="25" t="n">
        <x:f>IF(G24=0,"",F24/G24)</x:f>
        <x:v>0.5625</x:v>
      </x:c>
      <x:c r="I24" s="24" t="str">
        <x:v>portrait</x:v>
      </x:c>
      <x:c r="J24" s="26" t="n">
        <x:v>62.7</x:v>
      </x:c>
      <x:c r="K24" s="24" t="str">
        <x:v>Two-tone blue-purple face</x:v>
      </x:c>
      <x:c r="L24" s="24" t="str">
        <x:v>blue; purple; yellow; red; black</x:v>
      </x:c>
      <x:c r="M24" s="24" t="str">
        <x:v>blue; purple</x:v>
      </x:c>
      <x:c r="N24" s="24" t="n">
        <x:v>5</x:v>
      </x:c>
      <x:c r="O24" s="24" t="str">
        <x:v>Circle split into blue and purple areas with two colored eyes and a mouth/nose detail</x:v>
      </x:c>
      <x:c r="P24" s="24" t="str">
        <x:v>contrasting face transformation</x:v>
      </x:c>
      <x:c r="Q24" s="24" t="str">
        <x:v>two-tone fill, colored eyes, mouth/nose details</x:v>
      </x:c>
      <x:c r="R24" s="24" t="str">
        <x:v>One main idea</x:v>
      </x:c>
      <x:c r="S24" s="24" t="str">
        <x:v>Unusual blue-purple color combination makes it more distinctive than many other face responses</x:v>
      </x:c>
      <x:c r="T24" s="24" t="str">
        <x:v>Strong blue-purple contrast with yellow and red accents</x:v>
      </x:c>
      <x:c r="U24" s="24" t="str">
        <x:v>Ask the child to explain the color choices and create another character with a different expression or story</x:v>
      </x:c>
      <x:c r="V24" s="24"/>
      <x:c r="W24" s="24"/>
      <x:c r="X24" s="24" t="str">
        <x:v>unassigned</x:v>
      </x:c>
      <x:c r="Y24" s="24" t="n">
        <x:v>4</x:v>
      </x:c>
      <x:c r="Z24" s="24" t="n">
        <x:v>3</x:v>
      </x:c>
      <x:c r="AA24" s="24" t="n">
        <x:v>4</x:v>
      </x:c>
      <x:c r="AB24" s="24" t="n">
        <x:v>2</x:v>
      </x:c>
      <x:c r="AC24" s="24" t="n">
        <x:f>SUM(Y24:AB24)</x:f>
        <x:v>13</x:v>
      </x:c>
      <x:c r="AD24" s="25" t="n">
        <x:f>AVERAGE(Y24:AB24)</x:f>
        <x:v>3.25</x:v>
      </x:c>
      <x:c r="AE24" s="24" t="str">
        <x:f>IF(AD24&gt;=4.5,"Very High",IF(AD24&gt;=3.5,"High",IF(AD24&gt;=2.5,"Moderate",IF(AD24&gt;=1.5,"Developing","Low"))))</x:f>
        <x:v>Moderate</x:v>
      </x:c>
      <x:c r="AF24" s="24" t="str">
        <x:v>The face category is common, but the unusual blue-purple palette raises distinctiveness and imaginative quality.</x:v>
      </x:c>
      <x:c r="AG24" s="24" t="str">
        <x:v>PRELIMINARY_ONLY</x:v>
      </x:c>
      <x:c r="AH24" s="24" t="str">
        <x:v>Visual review of user-uploaded drawing; color categories approximate; creativity scores are preliminary only.</x:v>
      </x:c>
      <x:c r="AI24" s="24" t="str">
        <x:v>train</x:v>
      </x:c>
      <x:c r="AJ24" s="24"/>
      <x:c r="AK24" s="24"/>
      <x:c r="AL24" s="24"/>
      <x:c r="AM24" s="24"/>
      <x:c r="AN24" s="24"/>
      <x:c r="AO24" s="24" t="str">
        <x:v>descriptive_only_needs_human_scoring</x:v>
      </x:c>
      <x:c r="AP24" s="24" t="str">
        <x:f>IF(COUNT(AJ24:AM24)=4,"FINAL HUMAN-LABEL READY","PROTOTYPE ONLY - HUMAN VALIDATION REQUIRED")</x:f>
        <x:v>PROTOTYPE ONLY - HUMAN VALIDATION REQUIRED</x:v>
      </x:c>
    </x:row>
    <x:row r="25" ht="34" customHeight="1">
      <x:c r="A25" s="24" t="str">
        <x:v>S024</x:v>
      </x:c>
      <x:c r="B25" s="24" t="str">
        <x:v>PC01</x:v>
      </x:c>
      <x:c r="C25" s="24" t="str">
        <x:v>S024_PC01.jpeg</x:v>
      </x:c>
      <x:c r="D25" s="24" t="str">
        <x:v>images/picture_completion/S024_PC01.jpeg</x:v>
      </x:c>
      <x:c r="E25" s="24" t="str">
        <x:v>S024_PC01(2).jpeg</x:v>
      </x:c>
      <x:c r="F25" s="24" t="n">
        <x:v>720</x:v>
      </x:c>
      <x:c r="G25" s="24" t="n">
        <x:v>1280</x:v>
      </x:c>
      <x:c r="H25" s="25" t="n">
        <x:f>IF(G25=0,"",F25/G25)</x:f>
        <x:v>0.5625</x:v>
      </x:c>
      <x:c r="I25" s="24" t="str">
        <x:v>portrait</x:v>
      </x:c>
      <x:c r="J25" s="26" t="n">
        <x:v>50.2</x:v>
      </x:c>
      <x:c r="K25" s="24" t="str">
        <x:v>Detailed decorated face/character</x:v>
      </x:c>
      <x:c r="L25" s="24" t="str">
        <x:v>yellow; blue; pink; gray; black</x:v>
      </x:c>
      <x:c r="M25" s="24" t="str">
        <x:v>yellow</x:v>
      </x:c>
      <x:c r="N25" s="24" t="n">
        <x:v>5</x:v>
      </x:c>
      <x:c r="O25" s="24" t="str">
        <x:v>Yellow circular face with eyes, nose/mouth and multiple decorative colored shapes or patches inside the circle</x:v>
      </x:c>
      <x:c r="P25" s="24" t="str">
        <x:v>decorated face/character transformation</x:v>
      </x:c>
      <x:c r="Q25" s="24" t="str">
        <x:v>multiple internal shapes, facial features, mixed colored details</x:v>
      </x:c>
      <x:c r="R25" s="24" t="str">
        <x:v>Several coordinated visual elements</x:v>
      </x:c>
      <x:c r="S25" s="24" t="str">
        <x:v>More detailed than many simple faces in the sample</x:v>
      </x:c>
      <x:c r="T25" s="24" t="str">
        <x:v>Yellow-dominant with light blue, pink, gray and black additions</x:v>
      </x:c>
      <x:c r="U25" s="24" t="str">
        <x:v>Ask the child to explain each internal shape and build a short story about the character</x:v>
      </x:c>
      <x:c r="V25" s="24"/>
      <x:c r="W25" s="24"/>
      <x:c r="X25" s="24" t="str">
        <x:v>unassigned</x:v>
      </x:c>
      <x:c r="Y25" s="24" t="n">
        <x:v>4</x:v>
      </x:c>
      <x:c r="Z25" s="24" t="n">
        <x:v>4</x:v>
      </x:c>
      <x:c r="AA25" s="24" t="n">
        <x:v>4</x:v>
      </x:c>
      <x:c r="AB25" s="24" t="n">
        <x:v>3</x:v>
      </x:c>
      <x:c r="AC25" s="24" t="n">
        <x:f>SUM(Y25:AB25)</x:f>
        <x:v>15</x:v>
      </x:c>
      <x:c r="AD25" s="25" t="n">
        <x:f>AVERAGE(Y25:AB25)</x:f>
        <x:v>3.75</x:v>
      </x:c>
      <x:c r="AE25" s="24" t="str">
        <x:f>IF(AD25&gt;=4.5,"Very High",IF(AD25&gt;=3.5,"High",IF(AD25&gt;=2.5,"Moderate",IF(AD25&gt;=1.5,"Developing","Low"))))</x:f>
        <x:v>High</x:v>
      </x:c>
      <x:c r="AF25" s="24" t="str">
        <x:v>Good elaboration and imaginative detail compared with simpler face responses; exact symbolism remains uncertain.</x:v>
      </x:c>
      <x:c r="AG25" s="24" t="str">
        <x:v>PRELIMINARY_ONLY</x:v>
      </x:c>
      <x:c r="AH25" s="24" t="str">
        <x:v>Visual review of user-uploaded drawing; exact meaning of internal shapes should be confirmed with the child.</x:v>
      </x:c>
      <x:c r="AI25" s="24" t="str">
        <x:v>train</x:v>
      </x:c>
      <x:c r="AJ25" s="24"/>
      <x:c r="AK25" s="24"/>
      <x:c r="AL25" s="24"/>
      <x:c r="AM25" s="24"/>
      <x:c r="AN25" s="24"/>
      <x:c r="AO25" s="24" t="str">
        <x:v>descriptive_only_needs_human_scoring</x:v>
      </x:c>
      <x:c r="AP25" s="24" t="str">
        <x:f>IF(COUNT(AJ25:AM25)=4,"FINAL HUMAN-LABEL READY","PROTOTYPE ONLY - HUMAN VALIDATION REQUIRED")</x:f>
        <x:v>PROTOTYPE ONLY - HUMAN VALIDATION REQUIRED</x:v>
      </x:c>
    </x:row>
    <x:row r="26" ht="34" customHeight="1">
      <x:c r="A26" s="24" t="str">
        <x:v>S025</x:v>
      </x:c>
      <x:c r="B26" s="24" t="str">
        <x:v>PC01</x:v>
      </x:c>
      <x:c r="C26" s="24" t="str">
        <x:v>S025_PC01.jpeg</x:v>
      </x:c>
      <x:c r="D26" s="24" t="str">
        <x:v>images/picture_completion/S025_PC01.jpeg</x:v>
      </x:c>
      <x:c r="E26" s="24" t="str">
        <x:v>S025_PC01(2).jpeg</x:v>
      </x:c>
      <x:c r="F26" s="24" t="n">
        <x:v>720</x:v>
      </x:c>
      <x:c r="G26" s="24" t="n">
        <x:v>1280</x:v>
      </x:c>
      <x:c r="H26" s="25" t="n">
        <x:f>IF(G26=0,"",F26/G26)</x:f>
        <x:v>0.5625</x:v>
      </x:c>
      <x:c r="I26" s="24" t="str">
        <x:v>portrait</x:v>
      </x:c>
      <x:c r="J26" s="26" t="n">
        <x:v>38.6</x:v>
      </x:c>
      <x:c r="K26" s="24" t="str">
        <x:v>Simple face with tongue</x:v>
      </x:c>
      <x:c r="L26" s="24" t="str">
        <x:v>peach/light orange; blue; black</x:v>
      </x:c>
      <x:c r="M26" s="24" t="str">
        <x:v>peach/light orange</x:v>
      </x:c>
      <x:c r="N26" s="24" t="n">
        <x:v>3</x:v>
      </x:c>
      <x:c r="O26" s="24" t="str">
        <x:v>Circle becomes a face with eyes, nose, smiling mouth and a blue tongue extending downward</x:v>
      </x:c>
      <x:c r="P26" s="24" t="str">
        <x:v>face transformation</x:v>
      </x:c>
      <x:c r="Q26" s="24" t="str">
        <x:v>eyes, nose, smile, tongue and small hair marks</x:v>
      </x:c>
      <x:c r="R26" s="24" t="str">
        <x:v>One main idea</x:v>
      </x:c>
      <x:c r="S26" s="24" t="str">
        <x:v>The tongue detail adds some distinctiveness to an otherwise common face concept</x:v>
      </x:c>
      <x:c r="T26" s="24" t="str">
        <x:v>Light orange/peach fill with blue tongue and dark facial lines</x:v>
      </x:c>
      <x:c r="U26" s="24" t="str">
        <x:v>Encourage the child to add a body, action, or setting and explain what the character is doing</x:v>
      </x:c>
      <x:c r="V26" s="24"/>
      <x:c r="W26" s="24"/>
      <x:c r="X26" s="24" t="str">
        <x:v>unassigned</x:v>
      </x:c>
      <x:c r="Y26" s="24" t="n">
        <x:v>3</x:v>
      </x:c>
      <x:c r="Z26" s="24" t="n">
        <x:v>3</x:v>
      </x:c>
      <x:c r="AA26" s="24" t="n">
        <x:v>3</x:v>
      </x:c>
      <x:c r="AB26" s="24" t="n">
        <x:v>2</x:v>
      </x:c>
      <x:c r="AC26" s="24" t="n">
        <x:f>SUM(Y26:AB26)</x:f>
        <x:v>11</x:v>
      </x:c>
      <x:c r="AD26" s="25" t="n">
        <x:f>AVERAGE(Y26:AB26)</x:f>
        <x:v>2.75</x:v>
      </x:c>
      <x:c r="AE26" s="24" t="str">
        <x:f>IF(AD26&gt;=4.5,"Very High",IF(AD26&gt;=3.5,"High",IF(AD26&gt;=2.5,"Moderate",IF(AD26&gt;=1.5,"Developing","Low"))))</x:f>
        <x:v>Moderate</x:v>
      </x:c>
      <x:c r="AF26" s="24" t="str">
        <x:v>Common face transformation, but the tongue and small hair details add moderate elaboration.</x:v>
      </x:c>
      <x:c r="AG26" s="24" t="str">
        <x:v>PRELIMINARY_ONLY</x:v>
      </x:c>
      <x:c r="AH26" s="24" t="str">
        <x:v>Visual review of user-uploaded drawing; color categories approximate; creativity scores are preliminary only.</x:v>
      </x:c>
      <x:c r="AI26" s="24" t="str">
        <x:v>train</x:v>
      </x:c>
      <x:c r="AJ26" s="24"/>
      <x:c r="AK26" s="24"/>
      <x:c r="AL26" s="24"/>
      <x:c r="AM26" s="24"/>
      <x:c r="AN26" s="24"/>
      <x:c r="AO26" s="24" t="str">
        <x:v>descriptive_only_needs_human_scoring</x:v>
      </x:c>
      <x:c r="AP26" s="24" t="str">
        <x:f>IF(COUNT(AJ26:AM26)=4,"FINAL HUMAN-LABEL READY","PROTOTYPE ONLY - HUMAN VALIDATION REQUIRED")</x:f>
        <x:v>PROTOTYPE ONLY - HUMAN VALIDATION REQUIRED</x:v>
      </x:c>
    </x:row>
    <x:row r="27" ht="34" customHeight="1">
      <x:c r="A27" s="24" t="str">
        <x:v>S026</x:v>
      </x:c>
      <x:c r="B27" s="24" t="str">
        <x:v>PC01</x:v>
      </x:c>
      <x:c r="C27" s="24" t="str">
        <x:v>S026_PC01.jpeg</x:v>
      </x:c>
      <x:c r="D27" s="24" t="str">
        <x:v>images/picture_completion/S026_PC01.jpeg</x:v>
      </x:c>
      <x:c r="E27" s="24" t="str">
        <x:v>S026_PC01(2).jpeg</x:v>
      </x:c>
      <x:c r="F27" s="24" t="n">
        <x:v>720</x:v>
      </x:c>
      <x:c r="G27" s="24" t="n">
        <x:v>1280</x:v>
      </x:c>
      <x:c r="H27" s="25" t="n">
        <x:f>IF(G27=0,"",F27/G27)</x:f>
        <x:v>0.5625</x:v>
      </x:c>
      <x:c r="I27" s="24" t="str">
        <x:v>portrait</x:v>
      </x:c>
      <x:c r="J27" s="26" t="n">
        <x:v>53.7</x:v>
      </x:c>
      <x:c r="K27" s="24" t="str">
        <x:v>Orange face/character with faint external sketch</x:v>
      </x:c>
      <x:c r="L27" s="24" t="str">
        <x:v>orange; blue; white; black/gray</x:v>
      </x:c>
      <x:c r="M27" s="24" t="str">
        <x:v>orange</x:v>
      </x:c>
      <x:c r="N27" s="24" t="n">
        <x:v>4</x:v>
      </x:c>
      <x:c r="O27" s="24" t="str">
        <x:v>Orange circular face with two eyes, nose/mouth-like forms and faint large outline/sketch outside the circle</x:v>
      </x:c>
      <x:c r="P27" s="24" t="str">
        <x:v>face/character transformation with external extension</x:v>
      </x:c>
      <x:c r="Q27" s="24" t="str">
        <x:v>facial features, internal curved forms, faint outside outline</x:v>
      </x:c>
      <x:c r="R27" s="24" t="str">
        <x:v>One main idea with possible exterior extension</x:v>
      </x:c>
      <x:c r="S27" s="24" t="str">
        <x:v>External sketch suggests an attempt to extend beyond the base circle</x:v>
      </x:c>
      <x:c r="T27" s="24" t="str">
        <x:v>Orange-dominant with blue eye details and gray/black lines</x:v>
      </x:c>
      <x:c r="U27" s="24" t="str">
        <x:v>Ask what the faint outer shape represents and encourage the child to complete it as part of the character or scene</x:v>
      </x:c>
      <x:c r="V27" s="24"/>
      <x:c r="W27" s="24"/>
      <x:c r="X27" s="24" t="str">
        <x:v>unassigned</x:v>
      </x:c>
      <x:c r="Y27" s="24" t="n">
        <x:v>3</x:v>
      </x:c>
      <x:c r="Z27" s="24" t="n">
        <x:v>3</x:v>
      </x:c>
      <x:c r="AA27" s="24" t="n">
        <x:v>3</x:v>
      </x:c>
      <x:c r="AB27" s="24" t="n">
        <x:v>3</x:v>
      </x:c>
      <x:c r="AC27" s="24" t="n">
        <x:f>SUM(Y27:AB27)</x:f>
        <x:v>12</x:v>
      </x:c>
      <x:c r="AD27" s="25" t="n">
        <x:f>AVERAGE(Y27:AB27)</x:f>
        <x:v>3</x:v>
      </x:c>
      <x:c r="AE27" s="24" t="str">
        <x:f>IF(AD27&gt;=4.5,"Very High",IF(AD27&gt;=3.5,"High",IF(AD27&gt;=2.5,"Moderate",IF(AD27&gt;=1.5,"Developing","Low"))))</x:f>
        <x:v>Moderate</x:v>
      </x:c>
      <x:c r="AF27" s="24" t="str">
        <x:v>Moderate creativity with some evidence of extending beyond the circle; interpretation of the outside sketch is uncertain.</x:v>
      </x:c>
      <x:c r="AG27" s="24" t="str">
        <x:v>PRELIMINARY_ONLY</x:v>
      </x:c>
      <x:c r="AH27" s="24" t="str">
        <x:v>Visual review of user-uploaded drawing; external sketch is faint and its meaning should be confirmed.</x:v>
      </x:c>
      <x:c r="AI27" s="24" t="str">
        <x:v>validation</x:v>
      </x:c>
      <x:c r="AJ27" s="24"/>
      <x:c r="AK27" s="24"/>
      <x:c r="AL27" s="24"/>
      <x:c r="AM27" s="24"/>
      <x:c r="AN27" s="24"/>
      <x:c r="AO27" s="24" t="str">
        <x:v>descriptive_only_needs_human_scoring</x:v>
      </x:c>
      <x:c r="AP27" s="24" t="str">
        <x:f>IF(COUNT(AJ27:AM27)=4,"FINAL HUMAN-LABEL READY","PROTOTYPE ONLY - HUMAN VALIDATION REQUIRED")</x:f>
        <x:v>PROTOTYPE ONLY - HUMAN VALIDATION REQUIRED</x:v>
      </x:c>
    </x:row>
    <x:row r="28" ht="34" customHeight="1">
      <x:c r="A28" s="24" t="str">
        <x:v>S027</x:v>
      </x:c>
      <x:c r="B28" s="24" t="str">
        <x:v>PC01</x:v>
      </x:c>
      <x:c r="C28" s="24" t="str">
        <x:v>S027_PC01.jpeg</x:v>
      </x:c>
      <x:c r="D28" s="24" t="str">
        <x:v>images/picture_completion/S027_PC01.jpeg</x:v>
      </x:c>
      <x:c r="E28" s="24" t="str">
        <x:v>S027_PC01(2).jpeg</x:v>
      </x:c>
      <x:c r="F28" s="24" t="n">
        <x:v>720</x:v>
      </x:c>
      <x:c r="G28" s="24" t="n">
        <x:v>1280</x:v>
      </x:c>
      <x:c r="H28" s="25" t="n">
        <x:f>IF(G28=0,"",F28/G28)</x:f>
        <x:v>0.5625</x:v>
      </x:c>
      <x:c r="I28" s="24" t="str">
        <x:v>portrait</x:v>
      </x:c>
      <x:c r="J28" s="26" t="n">
        <x:v>53.8</x:v>
      </x:c>
      <x:c r="K28" s="24" t="str">
        <x:v>Simple orange face</x:v>
      </x:c>
      <x:c r="L28" s="24" t="str">
        <x:v>orange; black/gray</x:v>
      </x:c>
      <x:c r="M28" s="24" t="str">
        <x:v>orange</x:v>
      </x:c>
      <x:c r="N28" s="24" t="n">
        <x:v>2</x:v>
      </x:c>
      <x:c r="O28" s="24" t="str">
        <x:v>Orange circle with minimal facial marks including eyes, nose and small mouth/curves</x:v>
      </x:c>
      <x:c r="P28" s="24" t="str">
        <x:v>simple face transformation</x:v>
      </x:c>
      <x:c r="Q28" s="24" t="str">
        <x:v>basic facial features only</x:v>
      </x:c>
      <x:c r="R28" s="24" t="str">
        <x:v>One main idea</x:v>
      </x:c>
      <x:c r="S28" s="24" t="str">
        <x:v>Very simple and similar to other face responses in the dataset</x:v>
      </x:c>
      <x:c r="T28" s="24" t="str">
        <x:v>Mostly orange with dark line details</x:v>
      </x:c>
      <x:c r="U28" s="24" t="str">
        <x:v>Encourage adding hair, body, accessories, background objects, or a completely different circle transformation</x:v>
      </x:c>
      <x:c r="V28" s="24"/>
      <x:c r="W28" s="24"/>
      <x:c r="X28" s="24" t="str">
        <x:v>unassigned</x:v>
      </x:c>
      <x:c r="Y28" s="24" t="n">
        <x:v>2</x:v>
      </x:c>
      <x:c r="Z28" s="24" t="n">
        <x:v>2</x:v>
      </x:c>
      <x:c r="AA28" s="24" t="n">
        <x:v>2</x:v>
      </x:c>
      <x:c r="AB28" s="24" t="n">
        <x:v>2</x:v>
      </x:c>
      <x:c r="AC28" s="24" t="n">
        <x:f>SUM(Y28:AB28)</x:f>
        <x:v>8</x:v>
      </x:c>
      <x:c r="AD28" s="25" t="n">
        <x:f>AVERAGE(Y28:AB28)</x:f>
        <x:v>2</x:v>
      </x:c>
      <x:c r="AE28" s="24" t="str">
        <x:f>IF(AD28&gt;=4.5,"Very High",IF(AD28&gt;=3.5,"High",IF(AD28&gt;=2.5,"Moderate",IF(AD28&gt;=1.5,"Developing","Low"))))</x:f>
        <x:v>Developing</x:v>
      </x:c>
      <x:c r="AF28" s="24" t="str">
        <x:v>Simple, common face interpretation with limited elaboration and conceptual novelty.</x:v>
      </x:c>
      <x:c r="AG28" s="24" t="str">
        <x:v>PRELIMINARY_ONLY</x:v>
      </x:c>
      <x:c r="AH28" s="24" t="str">
        <x:v>Visual review of user-uploaded drawing; color categories approximate; creativity scores are preliminary only.</x:v>
      </x:c>
      <x:c r="AI28" s="24" t="str">
        <x:v>train</x:v>
      </x:c>
      <x:c r="AJ28" s="24"/>
      <x:c r="AK28" s="24"/>
      <x:c r="AL28" s="24"/>
      <x:c r="AM28" s="24"/>
      <x:c r="AN28" s="24"/>
      <x:c r="AO28" s="24" t="str">
        <x:v>descriptive_only_needs_human_scoring</x:v>
      </x:c>
      <x:c r="AP28" s="24" t="str">
        <x:f>IF(COUNT(AJ28:AM28)=4,"FINAL HUMAN-LABEL READY","PROTOTYPE ONLY - HUMAN VALIDATION REQUIRED")</x:f>
        <x:v>PROTOTYPE ONLY - HUMAN VALIDATION REQUIRED</x:v>
      </x:c>
    </x:row>
    <x:row r="29" ht="34" customHeight="1">
      <x:c r="A29" s="24" t="str">
        <x:v>S028</x:v>
      </x:c>
      <x:c r="B29" s="24" t="str">
        <x:v>PC01</x:v>
      </x:c>
      <x:c r="C29" s="24" t="str">
        <x:v>S028_PC01.jpeg</x:v>
      </x:c>
      <x:c r="D29" s="24" t="str">
        <x:v>images/picture_completion/S028_PC01.jpeg</x:v>
      </x:c>
      <x:c r="E29" s="24" t="str">
        <x:v>S028_PC01(2).jpeg</x:v>
      </x:c>
      <x:c r="F29" s="24" t="n">
        <x:v>720</x:v>
      </x:c>
      <x:c r="G29" s="24" t="n">
        <x:v>1280</x:v>
      </x:c>
      <x:c r="H29" s="25" t="n">
        <x:f>IF(G29=0,"",F29/G29)</x:f>
        <x:v>0.5625</x:v>
      </x:c>
      <x:c r="I29" s="24" t="str">
        <x:v>portrait</x:v>
      </x:c>
      <x:c r="J29" s="26" t="n">
        <x:v>56.9</x:v>
      </x:c>
      <x:c r="K29" s="24" t="str">
        <x:v>Yellow sun/face with faint rays and side shapes</x:v>
      </x:c>
      <x:c r="L29" s="24" t="str">
        <x:v>yellow; black/gray</x:v>
      </x:c>
      <x:c r="M29" s="24" t="str">
        <x:v>yellow</x:v>
      </x:c>
      <x:c r="N29" s="24" t="n">
        <x:v>2</x:v>
      </x:c>
      <x:c r="O29" s="24" t="str">
        <x:v>Yellow circle with facial features, faint radiating lines and several light circular/looped shapes outside one side</x:v>
      </x:c>
      <x:c r="P29" s="24" t="str">
        <x:v>sun-face transformation with external additions</x:v>
      </x:c>
      <x:c r="Q29" s="24" t="str">
        <x:v>facial marks, faint rays, side loops/circles</x:v>
      </x:c>
      <x:c r="R29" s="24" t="str">
        <x:v>One main idea with added external forms</x:v>
      </x:c>
      <x:c r="S29" s="24" t="str">
        <x:v>Sun/face category is common, but side looped forms add some variation</x:v>
      </x:c>
      <x:c r="T29" s="24" t="str">
        <x:v>Yellow-dominant with pencil/gray extensions</x:v>
      </x:c>
      <x:c r="U29" s="24" t="str">
        <x:v>Ask the child to explain the side shapes and develop them into a clear scene or new object</x:v>
      </x:c>
      <x:c r="V29" s="24"/>
      <x:c r="W29" s="24"/>
      <x:c r="X29" s="24" t="str">
        <x:v>unassigned</x:v>
      </x:c>
      <x:c r="Y29" s="24" t="n">
        <x:v>3</x:v>
      </x:c>
      <x:c r="Z29" s="24" t="n">
        <x:v>3</x:v>
      </x:c>
      <x:c r="AA29" s="24" t="n">
        <x:v>3</x:v>
      </x:c>
      <x:c r="AB29" s="24" t="n">
        <x:v>3</x:v>
      </x:c>
      <x:c r="AC29" s="24" t="n">
        <x:f>SUM(Y29:AB29)</x:f>
        <x:v>12</x:v>
      </x:c>
      <x:c r="AD29" s="25" t="n">
        <x:f>AVERAGE(Y29:AB29)</x:f>
        <x:v>3</x:v>
      </x:c>
      <x:c r="AE29" s="24" t="str">
        <x:f>IF(AD29&gt;=4.5,"Very High",IF(AD29&gt;=3.5,"High",IF(AD29&gt;=2.5,"Moderate",IF(AD29&gt;=1.5,"Developing","Low"))))</x:f>
        <x:v>Moderate</x:v>
      </x:c>
      <x:c r="AF29" s="24" t="str">
        <x:v>Common sun/face concept, but the extra side forms and rays show some attempt at extension beyond the basic circle.</x:v>
      </x:c>
      <x:c r="AG29" s="24" t="str">
        <x:v>PRELIMINARY_ONLY</x:v>
      </x:c>
      <x:c r="AH29" s="24" t="str">
        <x:v>Visual review of user-uploaded drawing; faint external forms are ambiguous and should be confirmed.</x:v>
      </x:c>
      <x:c r="AI29" s="24" t="str">
        <x:v>validation</x:v>
      </x:c>
      <x:c r="AJ29" s="24"/>
      <x:c r="AK29" s="24"/>
      <x:c r="AL29" s="24"/>
      <x:c r="AM29" s="24"/>
      <x:c r="AN29" s="24"/>
      <x:c r="AO29" s="24" t="str">
        <x:v>descriptive_only_needs_human_scoring</x:v>
      </x:c>
      <x:c r="AP29" s="24" t="str">
        <x:f>IF(COUNT(AJ29:AM29)=4,"FINAL HUMAN-LABEL READY","PROTOTYPE ONLY - HUMAN VALIDATION REQUIRED")</x:f>
        <x:v>PROTOTYPE ONLY - HUMAN VALIDATION REQUIRED</x:v>
      </x:c>
    </x:row>
    <x:row r="30" ht="34" customHeight="1">
      <x:c r="A30" s="24" t="str">
        <x:v>S029</x:v>
      </x:c>
      <x:c r="B30" s="24" t="str">
        <x:v>PC01</x:v>
      </x:c>
      <x:c r="C30" s="24" t="str">
        <x:v>S029_PC01.jpeg</x:v>
      </x:c>
      <x:c r="D30" s="24" t="str">
        <x:v>images/picture_completion/S029_PC01.jpeg</x:v>
      </x:c>
      <x:c r="E30" s="24" t="str">
        <x:v>S029_PC01.jpeg</x:v>
      </x:c>
      <x:c r="F30" s="24" t="n">
        <x:v>720</x:v>
      </x:c>
      <x:c r="G30" s="24" t="n">
        <x:v>1280</x:v>
      </x:c>
      <x:c r="H30" s="25" t="n">
        <x:f>IF(G30=0,"",F30/G30)</x:f>
        <x:v>0.5625</x:v>
      </x:c>
      <x:c r="I30" s="24" t="str">
        <x:v>portrait</x:v>
      </x:c>
      <x:c r="J30" s="26" t="n">
        <x:v>69.7</x:v>
      </x:c>
      <x:c r="K30" s="24" t="str">
        <x:v>Yellow sun with pointed rays and face</x:v>
      </x:c>
      <x:c r="L30" s="24" t="str">
        <x:v>yellow; red; black</x:v>
      </x:c>
      <x:c r="M30" s="24" t="str">
        <x:v>yellow</x:v>
      </x:c>
      <x:c r="N30" s="24" t="n">
        <x:v>3</x:v>
      </x:c>
      <x:c r="O30" s="24" t="str">
        <x:v>Yellow circular face with many large pointed rays, dark eyes and a red mouth/cheek-like mark</x:v>
      </x:c>
      <x:c r="P30" s="24" t="str">
        <x:v>sun-face transformation</x:v>
      </x:c>
      <x:c r="Q30" s="24" t="str">
        <x:v>large pointed rays, eyes, mouth/mark</x:v>
      </x:c>
      <x:c r="R30" s="24" t="str">
        <x:v>One main idea</x:v>
      </x:c>
      <x:c r="S30" s="24" t="str">
        <x:v>Sun is a frequent response, though the large pointed rays make this version visually clear</x:v>
      </x:c>
      <x:c r="T30" s="24" t="str">
        <x:v>Yellow-dominant with black and red accents</x:v>
      </x:c>
      <x:c r="U30" s="24" t="str">
        <x:v>Encourage the child to create a second circle drawing that is not a sun or face</x:v>
      </x:c>
      <x:c r="V30" s="24"/>
      <x:c r="W30" s="24"/>
      <x:c r="X30" s="24" t="str">
        <x:v>unassigned</x:v>
      </x:c>
      <x:c r="Y30" s="24" t="n">
        <x:v>2</x:v>
      </x:c>
      <x:c r="Z30" s="24" t="n">
        <x:v>4</x:v>
      </x:c>
      <x:c r="AA30" s="24" t="n">
        <x:v>3</x:v>
      </x:c>
      <x:c r="AB30" s="24" t="n">
        <x:v>2</x:v>
      </x:c>
      <x:c r="AC30" s="24" t="n">
        <x:f>SUM(Y30:AB30)</x:f>
        <x:v>11</x:v>
      </x:c>
      <x:c r="AD30" s="25" t="n">
        <x:f>AVERAGE(Y30:AB30)</x:f>
        <x:v>2.75</x:v>
      </x:c>
      <x:c r="AE30" s="24" t="str">
        <x:f>IF(AD30&gt;=4.5,"Very High",IF(AD30&gt;=3.5,"High",IF(AD30&gt;=2.5,"Moderate",IF(AD30&gt;=1.5,"Developing","Low"))))</x:f>
        <x:v>Moderate</x:v>
      </x:c>
      <x:c r="AF30" s="24" t="str">
        <x:v>Low originality because the sun idea is repeated often, but relatively strong elaboration through the large rays and facial details.</x:v>
      </x:c>
      <x:c r="AG30" s="24" t="str">
        <x:v>PRELIMINARY_ONLY</x:v>
      </x:c>
      <x:c r="AH30" s="24" t="str">
        <x:v>Visual review of user-uploaded drawing; color categories approximate; creativity scores are preliminary only.</x:v>
      </x:c>
      <x:c r="AI30" s="24" t="str">
        <x:v>test</x:v>
      </x:c>
      <x:c r="AJ30" s="24"/>
      <x:c r="AK30" s="24"/>
      <x:c r="AL30" s="24"/>
      <x:c r="AM30" s="24"/>
      <x:c r="AN30" s="24"/>
      <x:c r="AO30" s="24" t="str">
        <x:v>descriptive_only_needs_human_scoring</x:v>
      </x:c>
      <x:c r="AP30" s="24" t="str">
        <x:f>IF(COUNT(AJ30:AM30)=4,"FINAL HUMAN-LABEL READY","PROTOTYPE ONLY - HUMAN VALIDATION REQUIRED")</x:f>
        <x:v>PROTOTYPE ONLY - HUMAN VALIDATION REQUIRED</x:v>
      </x:c>
    </x:row>
    <x:row r="31" ht="34" customHeight="1">
      <x:c r="A31" s="24" t="str">
        <x:v>S030</x:v>
      </x:c>
      <x:c r="B31" s="24" t="str">
        <x:v>PC01</x:v>
      </x:c>
      <x:c r="C31" s="24" t="str">
        <x:v>S030_PC01.jpeg</x:v>
      </x:c>
      <x:c r="D31" s="24" t="str">
        <x:v>images/picture_completion/S030_PC01.jpeg</x:v>
      </x:c>
      <x:c r="E31" s="24" t="str">
        <x:v>S030_PC01.jpeg</x:v>
      </x:c>
      <x:c r="F31" s="24" t="n">
        <x:v>720</x:v>
      </x:c>
      <x:c r="G31" s="24" t="n">
        <x:v>1280</x:v>
      </x:c>
      <x:c r="H31" s="25" t="n">
        <x:f>IF(G31=0,"",F31/G31)</x:f>
        <x:v>0.5625</x:v>
      </x:c>
      <x:c r="I31" s="24" t="str">
        <x:v>portrait</x:v>
      </x:c>
      <x:c r="J31" s="26" t="n">
        <x:v>57.2</x:v>
      </x:c>
      <x:c r="K31" s="24" t="str">
        <x:v>Purple face/character</x:v>
      </x:c>
      <x:c r="L31" s="24" t="str">
        <x:v>purple; black; red; blue</x:v>
      </x:c>
      <x:c r="M31" s="24" t="str">
        <x:v>purple</x:v>
      </x:c>
      <x:c r="N31" s="24" t="n">
        <x:v>4</x:v>
      </x:c>
      <x:c r="O31" s="24" t="str">
        <x:v>Purple circular face with two dark eyes, large red mouth and a small blue triangular/nose detail</x:v>
      </x:c>
      <x:c r="P31" s="24" t="str">
        <x:v>face/character transformation</x:v>
      </x:c>
      <x:c r="Q31" s="24" t="str">
        <x:v>eyes, large mouth, colored nose/detail</x:v>
      </x:c>
      <x:c r="R31" s="24" t="str">
        <x:v>One main idea</x:v>
      </x:c>
      <x:c r="S31" s="24" t="str">
        <x:v>Purple palette is distinctive relative to many yellow/orange faces, but face category is still common</x:v>
      </x:c>
      <x:c r="T31" s="24" t="str">
        <x:v>Purple-dominant with black, red and blue accents</x:v>
      </x:c>
      <x:c r="U31" s="24" t="str">
        <x:v>Ask the child to create a story for the character and add body, setting, or another unique transformation</x:v>
      </x:c>
      <x:c r="V31" s="24"/>
      <x:c r="W31" s="24"/>
      <x:c r="X31" s="24" t="str">
        <x:v>unassigned</x:v>
      </x:c>
      <x:c r="Y31" s="24" t="n">
        <x:v>3</x:v>
      </x:c>
      <x:c r="Z31" s="24" t="n">
        <x:v>3</x:v>
      </x:c>
      <x:c r="AA31" s="24" t="n">
        <x:v>3</x:v>
      </x:c>
      <x:c r="AB31" s="24" t="n">
        <x:v>2</x:v>
      </x:c>
      <x:c r="AC31" s="24" t="n">
        <x:f>SUM(Y31:AB31)</x:f>
        <x:v>11</x:v>
      </x:c>
      <x:c r="AD31" s="25" t="n">
        <x:f>AVERAGE(Y31:AB31)</x:f>
        <x:v>2.75</x:v>
      </x:c>
      <x:c r="AE31" s="24" t="str">
        <x:f>IF(AD31&gt;=4.5,"Very High",IF(AD31&gt;=3.5,"High",IF(AD31&gt;=2.5,"Moderate",IF(AD31&gt;=1.5,"Developing","Low"))))</x:f>
        <x:v>Moderate</x:v>
      </x:c>
      <x:c r="AF31" s="24" t="str">
        <x:v>Distinctive color choice but moderate overall conceptual novelty because the face category appears frequently.</x:v>
      </x:c>
      <x:c r="AG31" s="24" t="str">
        <x:v>PRELIMINARY_ONLY</x:v>
      </x:c>
      <x:c r="AH31" s="24" t="str">
        <x:v>Visual review of user-uploaded drawing; color categories approximate; creativity scores are preliminary only.</x:v>
      </x:c>
      <x:c r="AI31" s="24" t="str">
        <x:v>validation</x:v>
      </x:c>
      <x:c r="AJ31" s="24"/>
      <x:c r="AK31" s="24"/>
      <x:c r="AL31" s="24"/>
      <x:c r="AM31" s="24"/>
      <x:c r="AN31" s="24"/>
      <x:c r="AO31" s="24" t="str">
        <x:v>descriptive_only_needs_human_scoring</x:v>
      </x:c>
      <x:c r="AP31" s="24" t="str">
        <x:f>IF(COUNT(AJ31:AM31)=4,"FINAL HUMAN-LABEL READY","PROTOTYPE ONLY - HUMAN VALIDATION REQUIRED")</x:f>
        <x:v>PROTOTYPE ONLY - HUMAN VALIDATION REQUIRED</x:v>
      </x:c>
    </x:row>
    <x:row r="32" ht="34" customHeight="1">
      <x:c r="A32" s="24" t="str">
        <x:v>S031</x:v>
      </x:c>
      <x:c r="B32" s="24" t="str">
        <x:v>PC01</x:v>
      </x:c>
      <x:c r="C32" s="24" t="str">
        <x:v>S031_PC01.jpeg</x:v>
      </x:c>
      <x:c r="D32" s="24" t="str">
        <x:v>images/picture_completion/S031_PC01.jpeg</x:v>
      </x:c>
      <x:c r="E32" s="24" t="str">
        <x:v>S031_PC01.jpeg</x:v>
      </x:c>
      <x:c r="F32" s="24" t="n">
        <x:v>720</x:v>
      </x:c>
      <x:c r="G32" s="24" t="n">
        <x:v>1280</x:v>
      </x:c>
      <x:c r="H32" s="25" t="n">
        <x:f>IF(G32=0,"",F32/G32)</x:f>
        <x:v>0.5625</x:v>
      </x:c>
      <x:c r="I32" s="24" t="str">
        <x:v>portrait</x:v>
      </x:c>
      <x:c r="J32" s="26" t="n">
        <x:v>77</x:v>
      </x:c>
      <x:c r="K32" s="24" t="str">
        <x:v>Full human character using circle as head</x:v>
      </x:c>
      <x:c r="L32" s="24" t="str">
        <x:v>yellow; pink; red; black; brown</x:v>
      </x:c>
      <x:c r="M32" s="24" t="str">
        <x:v>yellow; pink; red</x:v>
      </x:c>
      <x:c r="N32" s="24" t="n">
        <x:v>5</x:v>
      </x:c>
      <x:c r="O32" s="24" t="str">
        <x:v>Circle used as large smiling head; full torso, arms and rectangular lower body added above it; facial features included</x:v>
      </x:c>
      <x:c r="P32" s="24" t="str">
        <x:v>human-character transformation</x:v>
      </x:c>
      <x:c r="Q32" s="24" t="str">
        <x:v>full body, arms, clothing blocks, facial features, strong extension outside circle</x:v>
      </x:c>
      <x:c r="R32" s="24" t="str">
        <x:v>One main idea with multiple coordinated body parts</x:v>
      </x:c>
      <x:c r="S32" s="24" t="str">
        <x:v>Highly distinctive because the circle is integrated into a complete human-like figure</x:v>
      </x:c>
      <x:c r="T32" s="24" t="str">
        <x:v>Yellow face with pink/red clothing and dark outlines</x:v>
      </x:c>
      <x:c r="U32" s="24" t="str">
        <x:v>Ask the child to name the character, describe an action/story, and design a second character from another basic shape</x:v>
      </x:c>
      <x:c r="V32" s="24"/>
      <x:c r="W32" s="24"/>
      <x:c r="X32" s="24" t="str">
        <x:v>unassigned</x:v>
      </x:c>
      <x:c r="Y32" s="24" t="n">
        <x:v>5</x:v>
      </x:c>
      <x:c r="Z32" s="24" t="n">
        <x:v>5</x:v>
      </x:c>
      <x:c r="AA32" s="24" t="n">
        <x:v>4</x:v>
      </x:c>
      <x:c r="AB32" s="24" t="n">
        <x:v>3</x:v>
      </x:c>
      <x:c r="AC32" s="24" t="n">
        <x:f>SUM(Y32:AB32)</x:f>
        <x:v>17</x:v>
      </x:c>
      <x:c r="AD32" s="25" t="n">
        <x:f>AVERAGE(Y32:AB32)</x:f>
        <x:v>4.25</x:v>
      </x:c>
      <x:c r="AE32" s="24" t="str">
        <x:f>IF(AD32&gt;=4.5,"Very High",IF(AD32&gt;=3.5,"High",IF(AD32&gt;=2.5,"Moderate",IF(AD32&gt;=1.5,"Developing","Low"))))</x:f>
        <x:v>High</x:v>
      </x:c>
      <x:c r="AF32" s="24" t="str">
        <x:v>Strong transformation beyond the original circle and high elaboration through the complete figure. Flexibility remains a single-picture proxy.</x:v>
      </x:c>
      <x:c r="AG32" s="24" t="str">
        <x:v>PRELIMINARY_ONLY</x:v>
      </x:c>
      <x:c r="AH32" s="24" t="str">
        <x:v>Visual review of user-uploaded drawing; color categories approximate; creativity scores are preliminary only.</x:v>
      </x:c>
      <x:c r="AI32" s="24" t="str">
        <x:v>train</x:v>
      </x:c>
      <x:c r="AJ32" s="24"/>
      <x:c r="AK32" s="24"/>
      <x:c r="AL32" s="24"/>
      <x:c r="AM32" s="24"/>
      <x:c r="AN32" s="24"/>
      <x:c r="AO32" s="24" t="str">
        <x:v>descriptive_only_needs_human_scoring</x:v>
      </x:c>
      <x:c r="AP32" s="24" t="str">
        <x:f>IF(COUNT(AJ32:AM32)=4,"FINAL HUMAN-LABEL READY","PROTOTYPE ONLY - HUMAN VALIDATION REQUIRED")</x:f>
        <x:v>PROTOTYPE ONLY - HUMAN VALIDATION REQUIRED</x:v>
      </x:c>
    </x:row>
    <x:row r="33" ht="34" customHeight="1">
      <x:c r="A33" s="24" t="str">
        <x:v>S032</x:v>
      </x:c>
      <x:c r="B33" s="24" t="str">
        <x:v>PC01</x:v>
      </x:c>
      <x:c r="C33" s="24" t="str">
        <x:v>S032_PC01.jpeg</x:v>
      </x:c>
      <x:c r="D33" s="24" t="str">
        <x:v>images/picture_completion/S032_PC01.jpeg</x:v>
      </x:c>
      <x:c r="E33" s="24" t="str">
        <x:v>S032_PC01.jpeg</x:v>
      </x:c>
      <x:c r="F33" s="24" t="n">
        <x:v>720</x:v>
      </x:c>
      <x:c r="G33" s="24" t="n">
        <x:v>1280</x:v>
      </x:c>
      <x:c r="H33" s="25" t="n">
        <x:f>IF(G33=0,"",F33/G33)</x:f>
        <x:v>0.5625</x:v>
      </x:c>
      <x:c r="I33" s="24" t="str">
        <x:v>portrait</x:v>
      </x:c>
      <x:c r="J33" s="26" t="n">
        <x:v>69.3</x:v>
      </x:c>
      <x:c r="K33" s="24" t="str">
        <x:v>Character/robot-like figure with surrounding scene</x:v>
      </x:c>
      <x:c r="L33" s="24" t="str">
        <x:v>yellow; dark red; red; purple; blue; black</x:v>
      </x:c>
      <x:c r="M33" s="24" t="str">
        <x:v>yellow; dark red</x:v>
      </x:c>
      <x:c r="N33" s="24" t="n">
        <x:v>6</x:v>
      </x:c>
      <x:c r="O33" s="24" t="str">
        <x:v>Circle becomes a large face/head attached to a dark red body-like form; extra blue and yellow shapes appear in the surrounding space</x:v>
      </x:c>
      <x:c r="P33" s="24" t="str">
        <x:v>character plus scene transformation</x:v>
      </x:c>
      <x:c r="Q33" s="24" t="str">
        <x:v>body extension, facial features, colored external objects, multiple scene elements</x:v>
      </x:c>
      <x:c r="R33" s="24" t="str">
        <x:v>One main idea with surrounding additions</x:v>
      </x:c>
      <x:c r="S33" s="24" t="str">
        <x:v>Distinctive because the response extends into a larger character and includes extra scene objects</x:v>
      </x:c>
      <x:c r="T33" s="24" t="str">
        <x:v>Yellow face with dark red body and blue/purple accents</x:v>
      </x:c>
      <x:c r="U33" s="24" t="str">
        <x:v>Ask the child to explain the surrounding objects and build a short story around the character</x:v>
      </x:c>
      <x:c r="V33" s="24"/>
      <x:c r="W33" s="24"/>
      <x:c r="X33" s="24" t="str">
        <x:v>unassigned</x:v>
      </x:c>
      <x:c r="Y33" s="24" t="n">
        <x:v>5</x:v>
      </x:c>
      <x:c r="Z33" s="24" t="n">
        <x:v>5</x:v>
      </x:c>
      <x:c r="AA33" s="24" t="n">
        <x:v>5</x:v>
      </x:c>
      <x:c r="AB33" s="24" t="n">
        <x:v>4</x:v>
      </x:c>
      <x:c r="AC33" s="24" t="n">
        <x:f>SUM(Y33:AB33)</x:f>
        <x:v>19</x:v>
      </x:c>
      <x:c r="AD33" s="25" t="n">
        <x:f>AVERAGE(Y33:AB33)</x:f>
        <x:v>4.75</x:v>
      </x:c>
      <x:c r="AE33" s="24" t="str">
        <x:f>IF(AD33&gt;=4.5,"Very High",IF(AD33&gt;=3.5,"High",IF(AD33&gt;=2.5,"Moderate",IF(AD33&gt;=1.5,"Developing","Low"))))</x:f>
        <x:v>Very High</x:v>
      </x:c>
      <x:c r="AF33" s="24" t="str">
        <x:v>Richest scene-like construction in this set, with multiple external elements and clear expansion beyond the circle.</x:v>
      </x:c>
      <x:c r="AG33" s="24" t="str">
        <x:v>PRELIMINARY_ONLY</x:v>
      </x:c>
      <x:c r="AH33" s="24" t="str">
        <x:v>Visual review of user-uploaded drawing; exact meaning of some surrounding shapes should be confirmed with the child.</x:v>
      </x:c>
      <x:c r="AI33" s="24" t="str">
        <x:v>test</x:v>
      </x:c>
      <x:c r="AJ33" s="24"/>
      <x:c r="AK33" s="24"/>
      <x:c r="AL33" s="24"/>
      <x:c r="AM33" s="24"/>
      <x:c r="AN33" s="24"/>
      <x:c r="AO33" s="24" t="str">
        <x:v>descriptive_only_needs_human_scoring</x:v>
      </x:c>
      <x:c r="AP33" s="24" t="str">
        <x:f>IF(COUNT(AJ33:AM33)=4,"FINAL HUMAN-LABEL READY","PROTOTYPE ONLY - HUMAN VALIDATION REQUIRED")</x:f>
        <x:v>PROTOTYPE ONLY - HUMAN VALIDATION REQUIRED</x:v>
      </x:c>
    </x:row>
    <x:row r="34" ht="34" customHeight="1">
      <x:c r="A34" s="24" t="str">
        <x:v>S033</x:v>
      </x:c>
      <x:c r="B34" s="24" t="str">
        <x:v>PC01</x:v>
      </x:c>
      <x:c r="C34" s="24" t="str">
        <x:v>S033_PC01.jpeg</x:v>
      </x:c>
      <x:c r="D34" s="24" t="str">
        <x:v>images/picture_completion/S033_PC01.jpeg</x:v>
      </x:c>
      <x:c r="E34" s="24" t="str">
        <x:v>S033_PC01.jpeg</x:v>
      </x:c>
      <x:c r="F34" s="24" t="n">
        <x:v>720</x:v>
      </x:c>
      <x:c r="G34" s="24" t="n">
        <x:v>1280</x:v>
      </x:c>
      <x:c r="H34" s="25" t="n">
        <x:f>IF(G34=0,"",F34/G34)</x:f>
        <x:v>0.5625</x:v>
      </x:c>
      <x:c r="I34" s="24" t="str">
        <x:v>portrait</x:v>
      </x:c>
      <x:c r="J34" s="26" t="n">
        <x:v>52.9</x:v>
      </x:c>
      <x:c r="K34" s="24" t="str">
        <x:v>Simple pink face</x:v>
      </x:c>
      <x:c r="L34" s="24" t="str">
        <x:v>pink; black/gray</x:v>
      </x:c>
      <x:c r="M34" s="24" t="str">
        <x:v>pink</x:v>
      </x:c>
      <x:c r="N34" s="24" t="n">
        <x:v>2</x:v>
      </x:c>
      <x:c r="O34" s="24" t="str">
        <x:v>Circle filled pink with faint facial features including eyes and curved mouth-like lines</x:v>
      </x:c>
      <x:c r="P34" s="24" t="str">
        <x:v>simple face transformation</x:v>
      </x:c>
      <x:c r="Q34" s="24" t="str">
        <x:v>basic face elements only</x:v>
      </x:c>
      <x:c r="R34" s="24" t="str">
        <x:v>One main idea</x:v>
      </x:c>
      <x:c r="S34" s="24" t="str">
        <x:v>Very simple and similar to other face responses</x:v>
      </x:c>
      <x:c r="T34" s="24" t="str">
        <x:v>Pink-dominant with faint pencil/gray details</x:v>
      </x:c>
      <x:c r="U34" s="24" t="str">
        <x:v>Encourage adding body, setting, accessories, or transforming the circle into a non-face object</x:v>
      </x:c>
      <x:c r="V34" s="24"/>
      <x:c r="W34" s="24"/>
      <x:c r="X34" s="24" t="str">
        <x:v>unassigned</x:v>
      </x:c>
      <x:c r="Y34" s="24" t="n">
        <x:v>2</x:v>
      </x:c>
      <x:c r="Z34" s="24" t="n">
        <x:v>2</x:v>
      </x:c>
      <x:c r="AA34" s="24" t="n">
        <x:v>2</x:v>
      </x:c>
      <x:c r="AB34" s="24" t="n">
        <x:v>2</x:v>
      </x:c>
      <x:c r="AC34" s="24" t="n">
        <x:f>SUM(Y34:AB34)</x:f>
        <x:v>8</x:v>
      </x:c>
      <x:c r="AD34" s="25" t="n">
        <x:f>AVERAGE(Y34:AB34)</x:f>
        <x:v>2</x:v>
      </x:c>
      <x:c r="AE34" s="24" t="str">
        <x:f>IF(AD34&gt;=4.5,"Very High",IF(AD34&gt;=3.5,"High",IF(AD34&gt;=2.5,"Moderate",IF(AD34&gt;=1.5,"Developing","Low"))))</x:f>
        <x:v>Developing</x:v>
      </x:c>
      <x:c r="AF34" s="24" t="str">
        <x:v>Simple face concept with low elaboration and limited novelty relative to the dataset.</x:v>
      </x:c>
      <x:c r="AG34" s="24" t="str">
        <x:v>PRELIMINARY_ONLY</x:v>
      </x:c>
      <x:c r="AH34" s="24" t="str">
        <x:v>Visual review of user-uploaded drawing; faint lines limit certainty of some details.</x:v>
      </x:c>
      <x:c r="AI34" s="24" t="str">
        <x:v>train</x:v>
      </x:c>
      <x:c r="AJ34" s="24"/>
      <x:c r="AK34" s="24"/>
      <x:c r="AL34" s="24"/>
      <x:c r="AM34" s="24"/>
      <x:c r="AN34" s="24"/>
      <x:c r="AO34" s="24" t="str">
        <x:v>descriptive_only_needs_human_scoring</x:v>
      </x:c>
      <x:c r="AP34" s="24" t="str">
        <x:f>IF(COUNT(AJ34:AM34)=4,"FINAL HUMAN-LABEL READY","PROTOTYPE ONLY - HUMAN VALIDATION REQUIRED")</x:f>
        <x:v>PROTOTYPE ONLY - HUMAN VALIDATION REQUIRED</x:v>
      </x:c>
    </x:row>
    <x:row r="35" ht="34" customHeight="1">
      <x:c r="A35" s="24" t="str">
        <x:v>S034</x:v>
      </x:c>
      <x:c r="B35" s="24" t="str">
        <x:v>PC01</x:v>
      </x:c>
      <x:c r="C35" s="24" t="str">
        <x:v>S034_PC01.jpeg</x:v>
      </x:c>
      <x:c r="D35" s="24" t="str">
        <x:v>images/picture_completion/S034_PC01.jpeg</x:v>
      </x:c>
      <x:c r="E35" s="24" t="str">
        <x:v>S034_PC01.jpeg</x:v>
      </x:c>
      <x:c r="F35" s="24" t="n">
        <x:v>720</x:v>
      </x:c>
      <x:c r="G35" s="24" t="n">
        <x:v>1280</x:v>
      </x:c>
      <x:c r="H35" s="25" t="n">
        <x:f>IF(G35=0,"",F35/G35)</x:f>
        <x:v>0.5625</x:v>
      </x:c>
      <x:c r="I35" s="24" t="str">
        <x:v>portrait</x:v>
      </x:c>
      <x:c r="J35" s="26" t="n">
        <x:v>84.6</x:v>
      </x:c>
      <x:c r="K35" s="24" t="str">
        <x:v>Full human character with detailed clothing</x:v>
      </x:c>
      <x:c r="L35" s="24" t="str">
        <x:v>skin/peach; blue; red; pink; black; green</x:v>
      </x:c>
      <x:c r="M35" s="24" t="str">
        <x:v>blue; peach</x:v>
      </x:c>
      <x:c r="N35" s="24" t="n">
        <x:v>6</x:v>
      </x:c>
      <x:c r="O35" s="24" t="str">
        <x:v>Circle used as a large head; hair, eyes, mouth, ears, torso, arms, clothing details and legs added to form a complete person</x:v>
      </x:c>
      <x:c r="P35" s="24" t="str">
        <x:v>human-character transformation</x:v>
      </x:c>
      <x:c r="Q35" s="24" t="str">
        <x:v>hair, ears, face, multi-part clothing, arms, legs, body details</x:v>
      </x:c>
      <x:c r="R35" s="24" t="str">
        <x:v>One main idea with many coordinated sub-elements</x:v>
      </x:c>
      <x:c r="S35" s="24" t="str">
        <x:v>Highly distinctive and highly elaborated compared with most simple face/sun responses</x:v>
      </x:c>
      <x:c r="T35" s="24" t="str">
        <x:v>Peach face with blue clothing, red/pink accents and dark outlines</x:v>
      </x:c>
      <x:c r="U35" s="24" t="str">
        <x:v>Ask the child to describe the person, occupation or story and create another character in a different pose</x:v>
      </x:c>
      <x:c r="V35" s="24"/>
      <x:c r="W35" s="24"/>
      <x:c r="X35" s="24" t="str">
        <x:v>unassigned</x:v>
      </x:c>
      <x:c r="Y35" s="24" t="n">
        <x:v>5</x:v>
      </x:c>
      <x:c r="Z35" s="24" t="n">
        <x:v>5</x:v>
      </x:c>
      <x:c r="AA35" s="24" t="n">
        <x:v>4</x:v>
      </x:c>
      <x:c r="AB35" s="24" t="n">
        <x:v>3</x:v>
      </x:c>
      <x:c r="AC35" s="24" t="n">
        <x:f>SUM(Y35:AB35)</x:f>
        <x:v>17</x:v>
      </x:c>
      <x:c r="AD35" s="25" t="n">
        <x:f>AVERAGE(Y35:AB35)</x:f>
        <x:v>4.25</x:v>
      </x:c>
      <x:c r="AE35" s="24" t="str">
        <x:f>IF(AD35&gt;=4.5,"Very High",IF(AD35&gt;=3.5,"High",IF(AD35&gt;=2.5,"Moderate",IF(AD35&gt;=1.5,"Developing","Low"))))</x:f>
        <x:v>High</x:v>
      </x:c>
      <x:c r="AF35" s="24" t="str">
        <x:v>Strong elaboration and transformation through a full-body figure with clothing and facial details.</x:v>
      </x:c>
      <x:c r="AG35" s="24" t="str">
        <x:v>PRELIMINARY_ONLY</x:v>
      </x:c>
      <x:c r="AH35" s="24" t="str">
        <x:v>Visual review of user-uploaded drawing; color categories approximate; creativity scores are preliminary only.</x:v>
      </x:c>
      <x:c r="AI35" s="24" t="str">
        <x:v>train</x:v>
      </x:c>
      <x:c r="AJ35" s="24"/>
      <x:c r="AK35" s="24"/>
      <x:c r="AL35" s="24"/>
      <x:c r="AM35" s="24"/>
      <x:c r="AN35" s="24"/>
      <x:c r="AO35" s="24" t="str">
        <x:v>descriptive_only_needs_human_scoring</x:v>
      </x:c>
      <x:c r="AP35" s="24" t="str">
        <x:f>IF(COUNT(AJ35:AM35)=4,"FINAL HUMAN-LABEL READY","PROTOTYPE ONLY - HUMAN VALIDATION REQUIRED")</x:f>
        <x:v>PROTOTYPE ONLY - HUMAN VALIDATION REQUIRED</x:v>
      </x:c>
    </x:row>
    <x:row r="36" ht="34" customHeight="1">
      <x:c r="A36" s="24" t="str">
        <x:v>S035</x:v>
      </x:c>
      <x:c r="B36" s="24" t="str">
        <x:v>PC01</x:v>
      </x:c>
      <x:c r="C36" s="24" t="str">
        <x:v>S035_PC01.jpeg</x:v>
      </x:c>
      <x:c r="D36" s="24" t="str">
        <x:v>images/picture_completion/S035_PC01.jpeg</x:v>
      </x:c>
      <x:c r="E36" s="24" t="str">
        <x:v>S035_PC01.jpeg</x:v>
      </x:c>
      <x:c r="F36" s="24" t="n">
        <x:v>822</x:v>
      </x:c>
      <x:c r="G36" s="24" t="n">
        <x:v>1280</x:v>
      </x:c>
      <x:c r="H36" s="25" t="n">
        <x:f>IF(G36=0,"",F36/G36)</x:f>
        <x:v>0.6421875</x:v>
      </x:c>
      <x:c r="I36" s="24" t="str">
        <x:v>portrait</x:v>
      </x:c>
      <x:c r="J36" s="26" t="n">
        <x:v>62.9</x:v>
      </x:c>
      <x:c r="K36" s="24" t="str">
        <x:v>Sun-like smiling face with long rays</x:v>
      </x:c>
      <x:c r="L36" s="24" t="str">
        <x:v>yellow; black/gray</x:v>
      </x:c>
      <x:c r="M36" s="24" t="str">
        <x:v>yellow</x:v>
      </x:c>
      <x:c r="N36" s="24" t="n">
        <x:v>2</x:v>
      </x:c>
      <x:c r="O36" s="24" t="str">
        <x:v>Yellow circular face with eyes, nose, smile and several long broad rays extending outward</x:v>
      </x:c>
      <x:c r="P36" s="24" t="str">
        <x:v>sun-face transformation</x:v>
      </x:c>
      <x:c r="Q36" s="24" t="str">
        <x:v>facial features and long rays</x:v>
      </x:c>
      <x:c r="R36" s="24" t="str">
        <x:v>One main idea</x:v>
      </x:c>
      <x:c r="S36" s="24" t="str">
        <x:v>Sun category is common, though the long broad rays give a visual variation</x:v>
      </x:c>
      <x:c r="T36" s="24" t="str">
        <x:v>Mostly yellow with dark outlines/details</x:v>
      </x:c>
      <x:c r="U36" s="24" t="str">
        <x:v>Encourage the child to use the circle for a completely different object, animal or vehicle next time</x:v>
      </x:c>
      <x:c r="V36" s="24"/>
      <x:c r="W36" s="24"/>
      <x:c r="X36" s="24" t="str">
        <x:v>unassigned</x:v>
      </x:c>
      <x:c r="Y36" s="24" t="n">
        <x:v>2</x:v>
      </x:c>
      <x:c r="Z36" s="24" t="n">
        <x:v>3</x:v>
      </x:c>
      <x:c r="AA36" s="24" t="n">
        <x:v>3</x:v>
      </x:c>
      <x:c r="AB36" s="24" t="n">
        <x:v>2</x:v>
      </x:c>
      <x:c r="AC36" s="24" t="n">
        <x:f>SUM(Y36:AB36)</x:f>
        <x:v>10</x:v>
      </x:c>
      <x:c r="AD36" s="25" t="n">
        <x:f>AVERAGE(Y36:AB36)</x:f>
        <x:v>2.5</x:v>
      </x:c>
      <x:c r="AE36" s="24" t="str">
        <x:f>IF(AD36&gt;=4.5,"Very High",IF(AD36&gt;=3.5,"High",IF(AD36&gt;=2.5,"Moderate",IF(AD36&gt;=1.5,"Developing","Low"))))</x:f>
        <x:v>Moderate</x:v>
      </x:c>
      <x:c r="AF36" s="24" t="str">
        <x:v>Common sun concept with moderate elaboration from the large rays and face.</x:v>
      </x:c>
      <x:c r="AG36" s="24" t="str">
        <x:v>PRELIMINARY_ONLY</x:v>
      </x:c>
      <x:c r="AH36" s="24" t="str">
        <x:v>Visual review of user-uploaded drawing; color categories approximate; creativity scores are preliminary only.</x:v>
      </x:c>
      <x:c r="AI36" s="24" t="str">
        <x:v>train</x:v>
      </x:c>
      <x:c r="AJ36" s="24"/>
      <x:c r="AK36" s="24"/>
      <x:c r="AL36" s="24"/>
      <x:c r="AM36" s="24"/>
      <x:c r="AN36" s="24"/>
      <x:c r="AO36" s="24" t="str">
        <x:v>descriptive_only_needs_human_scoring</x:v>
      </x:c>
      <x:c r="AP36" s="24" t="str">
        <x:f>IF(COUNT(AJ36:AM36)=4,"FINAL HUMAN-LABEL READY","PROTOTYPE ONLY - HUMAN VALIDATION REQUIRED")</x:f>
        <x:v>PROTOTYPE ONLY - HUMAN VALIDATION REQUIRED</x:v>
      </x:c>
    </x:row>
    <x:row r="37" ht="34" customHeight="1">
      <x:c r="A37" s="24" t="str">
        <x:v>S036</x:v>
      </x:c>
      <x:c r="B37" s="24" t="str">
        <x:v>PC01</x:v>
      </x:c>
      <x:c r="C37" s="24" t="str">
        <x:v>S036_PC01.jpeg</x:v>
      </x:c>
      <x:c r="D37" s="24" t="str">
        <x:v>images/picture_completion/S036_PC01.jpeg</x:v>
      </x:c>
      <x:c r="E37" s="24" t="str">
        <x:v>S036_PC01.jpeg</x:v>
      </x:c>
      <x:c r="F37" s="24" t="n">
        <x:v>960</x:v>
      </x:c>
      <x:c r="G37" s="24" t="n">
        <x:v>1280</x:v>
      </x:c>
      <x:c r="H37" s="25" t="n">
        <x:f>IF(G37=0,"",F37/G37)</x:f>
        <x:v>0.75</x:v>
      </x:c>
      <x:c r="I37" s="24" t="str">
        <x:v>portrait</x:v>
      </x:c>
      <x:c r="J37" s="26" t="n">
        <x:v>48.9</x:v>
      </x:c>
      <x:c r="K37" s="24" t="str">
        <x:v>Flower-like face</x:v>
      </x:c>
      <x:c r="L37" s="24" t="str">
        <x:v>pink; purple; yellow; brown; blue; green; orange; black</x:v>
      </x:c>
      <x:c r="M37" s="24" t="str">
        <x:v>pink; multicolor petals</x:v>
      </x:c>
      <x:c r="N37" s="24" t="n">
        <x:v>8</x:v>
      </x:c>
      <x:c r="O37" s="24" t="str">
        <x:v>Circle becomes a pink face at the center of a flower; multiple large petals in different colors surround it</x:v>
      </x:c>
      <x:c r="P37" s="24" t="str">
        <x:v>flower-character transformation</x:v>
      </x:c>
      <x:c r="Q37" s="24" t="str">
        <x:v>multiple petals, facial features, varied colors, strong extension outside circle</x:v>
      </x:c>
      <x:c r="R37" s="24" t="str">
        <x:v>One main idea with several coordinated parts</x:v>
      </x:c>
      <x:c r="S37" s="24" t="str">
        <x:v>Highly distinctive because the circle is integrated into a multicolored flower</x:v>
      </x:c>
      <x:c r="T37" s="24" t="str">
        <x:v>High color diversity across petals with pink center</x:v>
      </x:c>
      <x:c r="U37" s="24" t="str">
        <x:v>Ask the child to name the flower character and create a garden or story scene around it</x:v>
      </x:c>
      <x:c r="V37" s="24"/>
      <x:c r="W37" s="24"/>
      <x:c r="X37" s="24" t="str">
        <x:v>unassigned</x:v>
      </x:c>
      <x:c r="Y37" s="24" t="n">
        <x:v>5</x:v>
      </x:c>
      <x:c r="Z37" s="24" t="n">
        <x:v>5</x:v>
      </x:c>
      <x:c r="AA37" s="24" t="n">
        <x:v>5</x:v>
      </x:c>
      <x:c r="AB37" s="24" t="n">
        <x:v>4</x:v>
      </x:c>
      <x:c r="AC37" s="24" t="n">
        <x:f>SUM(Y37:AB37)</x:f>
        <x:v>19</x:v>
      </x:c>
      <x:c r="AD37" s="25" t="n">
        <x:f>AVERAGE(Y37:AB37)</x:f>
        <x:v>4.75</x:v>
      </x:c>
      <x:c r="AE37" s="24" t="str">
        <x:f>IF(AD37&gt;=4.5,"Very High",IF(AD37&gt;=3.5,"High",IF(AD37&gt;=2.5,"Moderate",IF(AD37&gt;=1.5,"Developing","Low"))))</x:f>
        <x:v>Very High</x:v>
      </x:c>
      <x:c r="AF37" s="24" t="str">
        <x:v>Very strong transformation, color variety and elaboration. The flower concept is less common than the repeated face/sun responses.</x:v>
      </x:c>
      <x:c r="AG37" s="24" t="str">
        <x:v>PRELIMINARY_ONLY</x:v>
      </x:c>
      <x:c r="AH37" s="24" t="str">
        <x:v>Visual review of user-uploaded drawing; color categories approximate; creativity scores are preliminary only.</x:v>
      </x:c>
      <x:c r="AI37" s="24" t="str">
        <x:v>test</x:v>
      </x:c>
      <x:c r="AJ37" s="24"/>
      <x:c r="AK37" s="24"/>
      <x:c r="AL37" s="24"/>
      <x:c r="AM37" s="24"/>
      <x:c r="AN37" s="24"/>
      <x:c r="AO37" s="24" t="str">
        <x:v>descriptive_only_needs_human_scoring</x:v>
      </x:c>
      <x:c r="AP37" s="24" t="str">
        <x:f>IF(COUNT(AJ37:AM37)=4,"FINAL HUMAN-LABEL READY","PROTOTYPE ONLY - HUMAN VALIDATION REQUIRED")</x:f>
        <x:v>PROTOTYPE ONLY - HUMAN VALIDATION REQUIRED</x:v>
      </x:c>
    </x:row>
    <x:row r="38" ht="34" customHeight="1">
      <x:c r="A38" s="24" t="str">
        <x:v>S037</x:v>
      </x:c>
      <x:c r="B38" s="24" t="str">
        <x:v>PC01</x:v>
      </x:c>
      <x:c r="C38" s="24" t="str">
        <x:v>S037_PC01.jpeg</x:v>
      </x:c>
      <x:c r="D38" s="24" t="str">
        <x:v>images/picture_completion/S037_PC01.jpeg</x:v>
      </x:c>
      <x:c r="E38" s="24" t="str">
        <x:v>S037_PC01.jpeg</x:v>
      </x:c>
      <x:c r="F38" s="24" t="n">
        <x:v>960</x:v>
      </x:c>
      <x:c r="G38" s="24" t="n">
        <x:v>1280</x:v>
      </x:c>
      <x:c r="H38" s="25" t="n">
        <x:f>IF(G38=0,"",F38/G38)</x:f>
        <x:v>0.75</x:v>
      </x:c>
      <x:c r="I38" s="24" t="str">
        <x:v>portrait</x:v>
      </x:c>
      <x:c r="J38" s="26" t="n">
        <x:v>66.5</x:v>
      </x:c>
      <x:c r="K38" s="24" t="str">
        <x:v>Fantasy garden/flower character scene</x:v>
      </x:c>
      <x:c r="L38" s="24" t="str">
        <x:v>purple; green; blue; yellow; orange; pink; black</x:v>
      </x:c>
      <x:c r="M38" s="24" t="str">
        <x:v>purple; green</x:v>
      </x:c>
      <x:c r="N38" s="24" t="n">
        <x:v>7</x:v>
      </x:c>
      <x:c r="O38" s="24" t="str">
        <x:v>Circle becomes a purple face/flower character placed in a larger scene with green leaves/grass, another purple flower, blue shapes, sun and large petal/wing forms</x:v>
      </x:c>
      <x:c r="P38" s="24" t="str">
        <x:v>scene-based character transformation</x:v>
      </x:c>
      <x:c r="Q38" s="24" t="str">
        <x:v>multiple scene objects, background, flowers/leaves, sun, colored shapes, face details</x:v>
      </x:c>
      <x:c r="R38" s="24" t="str">
        <x:v>Multiple coordinated idea elements</x:v>
      </x:c>
      <x:c r="S38" s="24" t="str">
        <x:v>Highly distinctive because it develops the circle into a full environmental scene</x:v>
      </x:c>
      <x:c r="T38" s="24" t="str">
        <x:v>High color diversity with purple and green dominant</x:v>
      </x:c>
      <x:c r="U38" s="24" t="str">
        <x:v>Ask the child to narrate the scene and invent what happens next; then design another setting using a different starting shape</x:v>
      </x:c>
      <x:c r="V38" s="24"/>
      <x:c r="W38" s="24"/>
      <x:c r="X38" s="24" t="str">
        <x:v>unassigned</x:v>
      </x:c>
      <x:c r="Y38" s="24" t="n">
        <x:v>5</x:v>
      </x:c>
      <x:c r="Z38" s="24" t="n">
        <x:v>5</x:v>
      </x:c>
      <x:c r="AA38" s="24" t="n">
        <x:v>5</x:v>
      </x:c>
      <x:c r="AB38" s="24" t="n">
        <x:v>5</x:v>
      </x:c>
      <x:c r="AC38" s="24" t="n">
        <x:f>SUM(Y38:AB38)</x:f>
        <x:v>20</x:v>
      </x:c>
      <x:c r="AD38" s="25" t="n">
        <x:f>AVERAGE(Y38:AB38)</x:f>
        <x:v>5</x:v>
      </x:c>
      <x:c r="AE38" s="24" t="str">
        <x:f>IF(AD38&gt;=4.5,"Very High",IF(AD38&gt;=3.5,"High",IF(AD38&gt;=2.5,"Moderate",IF(AD38&gt;=1.5,"Developing","Low"))))</x:f>
        <x:v>Very High</x:v>
      </x:c>
      <x:c r="AF38" s="24" t="str">
        <x:v>One of the strongest responses for scene construction, elaboration and imaginative transformation; multiple idea categories are visibly combined.</x:v>
      </x:c>
      <x:c r="AG38" s="24" t="str">
        <x:v>PRELIMINARY_ONLY</x:v>
      </x:c>
      <x:c r="AH38" s="24" t="str">
        <x:v>Visual review of user-uploaded drawing; some scene elements are interpretive and should be confirmed with the child.</x:v>
      </x:c>
      <x:c r="AI38" s="24" t="str">
        <x:v>train</x:v>
      </x:c>
      <x:c r="AJ38" s="24"/>
      <x:c r="AK38" s="24"/>
      <x:c r="AL38" s="24"/>
      <x:c r="AM38" s="24"/>
      <x:c r="AN38" s="24"/>
      <x:c r="AO38" s="24" t="str">
        <x:v>descriptive_only_needs_human_scoring</x:v>
      </x:c>
      <x:c r="AP38" s="24" t="str">
        <x:f>IF(COUNT(AJ38:AM38)=4,"FINAL HUMAN-LABEL READY","PROTOTYPE ONLY - HUMAN VALIDATION REQUIRED")</x:f>
        <x:v>PROTOTYPE ONLY - HUMAN VALIDATION REQUIRED</x:v>
      </x:c>
    </x:row>
    <x:row r="39" ht="34" customHeight="1">
      <x:c r="A39" s="24" t="str">
        <x:v>S038</x:v>
      </x:c>
      <x:c r="B39" s="24" t="str">
        <x:v>PC01</x:v>
      </x:c>
      <x:c r="C39" s="24" t="str">
        <x:v>S038_PC01.jpeg</x:v>
      </x:c>
      <x:c r="D39" s="24" t="str">
        <x:v>images/picture_completion/S038_PC01.jpeg</x:v>
      </x:c>
      <x:c r="E39" s="24" t="str">
        <x:v>S038_PC01.jpeg</x:v>
      </x:c>
      <x:c r="F39" s="24" t="n">
        <x:v>960</x:v>
      </x:c>
      <x:c r="G39" s="24" t="n">
        <x:v>1280</x:v>
      </x:c>
      <x:c r="H39" s="25" t="n">
        <x:f>IF(G39=0,"",F39/G39)</x:f>
        <x:v>0.75</x:v>
      </x:c>
      <x:c r="I39" s="24" t="str">
        <x:v>portrait</x:v>
      </x:c>
      <x:c r="J39" s="26" t="n">
        <x:v>57.3</x:v>
      </x:c>
      <x:c r="K39" s="24" t="str">
        <x:v>Girl/character in outdoor or water scene</x:v>
      </x:c>
      <x:c r="L39" s="24" t="str">
        <x:v>pink; blue; brown; red; cyan; black</x:v>
      </x:c>
      <x:c r="M39" s="24" t="str">
        <x:v>pink; blue</x:v>
      </x:c>
      <x:c r="N39" s="24" t="n">
        <x:v>6</x:v>
      </x:c>
      <x:c r="O39" s="24" t="str">
        <x:v>Circle becomes a character's face with hair and facial features; surrounding scene includes blue ground/water, blue strokes, pink body/arms and a small distant object</x:v>
      </x:c>
      <x:c r="P39" s="24" t="str">
        <x:v>character-in-scene transformation</x:v>
      </x:c>
      <x:c r="Q39" s="24" t="str">
        <x:v>hair, eyes, mouth, body parts, surrounding environment, additional object</x:v>
      </x:c>
      <x:c r="R39" s="24" t="str">
        <x:v>Multiple coordinated idea elements</x:v>
      </x:c>
      <x:c r="S39" s="24" t="str">
        <x:v>Distinctive because the circle is integrated into a broader action/environment scene</x:v>
      </x:c>
      <x:c r="T39" s="24" t="str">
        <x:v>Pink/blue dominant with brown hair and red accents</x:v>
      </x:c>
      <x:c r="U39" s="24" t="str">
        <x:v>Ask the child to explain the place and action, then extend the story with another character or object</x:v>
      </x:c>
      <x:c r="V39" s="24"/>
      <x:c r="W39" s="24"/>
      <x:c r="X39" s="24" t="str">
        <x:v>unassigned</x:v>
      </x:c>
      <x:c r="Y39" s="24" t="n">
        <x:v>5</x:v>
      </x:c>
      <x:c r="Z39" s="24" t="n">
        <x:v>5</x:v>
      </x:c>
      <x:c r="AA39" s="24" t="n">
        <x:v>5</x:v>
      </x:c>
      <x:c r="AB39" s="24" t="n">
        <x:v>4</x:v>
      </x:c>
      <x:c r="AC39" s="24" t="n">
        <x:f>SUM(Y39:AB39)</x:f>
        <x:v>19</x:v>
      </x:c>
      <x:c r="AD39" s="25" t="n">
        <x:f>AVERAGE(Y39:AB39)</x:f>
        <x:v>4.75</x:v>
      </x:c>
      <x:c r="AE39" s="24" t="str">
        <x:f>IF(AD39&gt;=4.5,"Very High",IF(AD39&gt;=3.5,"High",IF(AD39&gt;=2.5,"Moderate",IF(AD39&gt;=1.5,"Developing","Low"))))</x:f>
        <x:v>Very High</x:v>
      </x:c>
      <x:c r="AF39" s="24" t="str">
        <x:v>Strong scene elaboration and imaginative use of the circle as part of a character rather than as a standalone face.</x:v>
      </x:c>
      <x:c r="AG39" s="24" t="str">
        <x:v>PRELIMINARY_ONLY</x:v>
      </x:c>
      <x:c r="AH39" s="24" t="str">
        <x:v>Visual review of user-uploaded drawing; interpretation of scene context should be confirmed with the child.</x:v>
      </x:c>
      <x:c r="AI39" s="24" t="str">
        <x:v>train</x:v>
      </x:c>
      <x:c r="AJ39" s="24"/>
      <x:c r="AK39" s="24"/>
      <x:c r="AL39" s="24"/>
      <x:c r="AM39" s="24"/>
      <x:c r="AN39" s="24"/>
      <x:c r="AO39" s="24" t="str">
        <x:v>descriptive_only_needs_human_scoring</x:v>
      </x:c>
      <x:c r="AP39" s="24" t="str">
        <x:f>IF(COUNT(AJ39:AM39)=4,"FINAL HUMAN-LABEL READY","PROTOTYPE ONLY - HUMAN VALIDATION REQUIRED")</x:f>
        <x:v>PROTOTYPE ONLY - HUMAN VALIDATION REQUIRED</x:v>
      </x:c>
    </x:row>
    <x:row r="40" ht="34" customHeight="1">
      <x:c r="A40" s="24" t="str">
        <x:v>S039</x:v>
      </x:c>
      <x:c r="B40" s="24" t="str">
        <x:v>PC01</x:v>
      </x:c>
      <x:c r="C40" s="24" t="str">
        <x:v>S039_PC01.jpeg</x:v>
      </x:c>
      <x:c r="D40" s="24" t="str">
        <x:v>images/picture_completion/S039_PC01.jpeg</x:v>
      </x:c>
      <x:c r="E40" s="24" t="str">
        <x:v>S039_PC01.jpeg</x:v>
      </x:c>
      <x:c r="F40" s="24" t="n">
        <x:v>960</x:v>
      </x:c>
      <x:c r="G40" s="24" t="n">
        <x:v>1280</x:v>
      </x:c>
      <x:c r="H40" s="25" t="n">
        <x:f>IF(G40=0,"",F40/G40)</x:f>
        <x:v>0.75</x:v>
      </x:c>
      <x:c r="I40" s="24" t="str">
        <x:v>portrait</x:v>
      </x:c>
      <x:c r="J40" s="26" t="n">
        <x:v>62.2</x:v>
      </x:c>
      <x:c r="K40" s="24" t="str">
        <x:v>Decorative sun/flower face</x:v>
      </x:c>
      <x:c r="L40" s="24" t="str">
        <x:v>red; mint/green; pink; black</x:v>
      </x:c>
      <x:c r="M40" s="24" t="str">
        <x:v>red; mint/green</x:v>
      </x:c>
      <x:c r="N40" s="24" t="n">
        <x:v>4</x:v>
      </x:c>
      <x:c r="O40" s="24" t="str">
        <x:v>Red circular face surrounded by many pointed petal/ray forms with heart-like decorations; extra cloud/rainbow-like marks appear to the side</x:v>
      </x:c>
      <x:c r="P40" s="24" t="str">
        <x:v>decorative sun-flower transformation</x:v>
      </x:c>
      <x:c r="Q40" s="24" t="str">
        <x:v>many rays/petals, heart motifs, facial features, extra side decorations</x:v>
      </x:c>
      <x:c r="R40" s="24" t="str">
        <x:v>One main idea with repeated decorative motifs</x:v>
      </x:c>
      <x:c r="S40" s="24" t="str">
        <x:v>Distinctive decorative treatment with heart motifs, despite a sun/flower-like base concept</x:v>
      </x:c>
      <x:c r="T40" s="24" t="str">
        <x:v>Red center with mint/green rays and pink decorative elements</x:v>
      </x:c>
      <x:c r="U40" s="24" t="str">
        <x:v>Ask the child to explain the heart patterns and create a full background or story for the character</x:v>
      </x:c>
      <x:c r="V40" s="24"/>
      <x:c r="W40" s="24"/>
      <x:c r="X40" s="24" t="str">
        <x:v>unassigned</x:v>
      </x:c>
      <x:c r="Y40" s="24" t="n">
        <x:v>4</x:v>
      </x:c>
      <x:c r="Z40" s="24" t="n">
        <x:v>5</x:v>
      </x:c>
      <x:c r="AA40" s="24" t="n">
        <x:v>4</x:v>
      </x:c>
      <x:c r="AB40" s="24" t="n">
        <x:v>3</x:v>
      </x:c>
      <x:c r="AC40" s="24" t="n">
        <x:f>SUM(Y40:AB40)</x:f>
        <x:v>16</x:v>
      </x:c>
      <x:c r="AD40" s="25" t="n">
        <x:f>AVERAGE(Y40:AB40)</x:f>
        <x:v>4</x:v>
      </x:c>
      <x:c r="AE40" s="24" t="str">
        <x:f>IF(AD40&gt;=4.5,"Very High",IF(AD40&gt;=3.5,"High",IF(AD40&gt;=2.5,"Moderate",IF(AD40&gt;=1.5,"Developing","Low"))))</x:f>
        <x:v>High</x:v>
      </x:c>
      <x:c r="AF40" s="24" t="str">
        <x:v>High elaboration through repeated decorated rays/petals and extra side details; originality is above average due to the motif treatment.</x:v>
      </x:c>
      <x:c r="AG40" s="24" t="str">
        <x:v>PRELIMINARY_ONLY</x:v>
      </x:c>
      <x:c r="AH40" s="24" t="str">
        <x:v>Visual review of user-uploaded drawing; color categories approximate; creativity scores are preliminary only.</x:v>
      </x:c>
      <x:c r="AI40" s="24" t="str">
        <x:v>train</x:v>
      </x:c>
      <x:c r="AJ40" s="24"/>
      <x:c r="AK40" s="24"/>
      <x:c r="AL40" s="24"/>
      <x:c r="AM40" s="24"/>
      <x:c r="AN40" s="24"/>
      <x:c r="AO40" s="24" t="str">
        <x:v>descriptive_only_needs_human_scoring</x:v>
      </x:c>
      <x:c r="AP40" s="24" t="str">
        <x:f>IF(COUNT(AJ40:AM40)=4,"FINAL HUMAN-LABEL READY","PROTOTYPE ONLY - HUMAN VALIDATION REQUIRED")</x:f>
        <x:v>PROTOTYPE ONLY - HUMAN VALIDATION REQUIRED</x:v>
      </x:c>
    </x:row>
    <x:row r="41" ht="34" customHeight="1">
      <x:c r="A41" s="24" t="str">
        <x:v>S040</x:v>
      </x:c>
      <x:c r="B41" s="24" t="str">
        <x:v>PC01</x:v>
      </x:c>
      <x:c r="C41" s="24" t="str">
        <x:v>S040_PC01.jpeg</x:v>
      </x:c>
      <x:c r="D41" s="24" t="str">
        <x:v>images/picture_completion/S040_PC01.jpeg</x:v>
      </x:c>
      <x:c r="E41" s="24" t="str">
        <x:v>S040_PC01.jpeg</x:v>
      </x:c>
      <x:c r="F41" s="24" t="n">
        <x:v>960</x:v>
      </x:c>
      <x:c r="G41" s="24" t="n">
        <x:v>1280</x:v>
      </x:c>
      <x:c r="H41" s="25" t="n">
        <x:f>IF(G41=0,"",F41/G41)</x:f>
        <x:v>0.75</x:v>
      </x:c>
      <x:c r="I41" s="24" t="str">
        <x:v>portrait</x:v>
      </x:c>
      <x:c r="J41" s="26" t="n">
        <x:v>102.4</x:v>
      </x:c>
      <x:c r="K41" s="24" t="str">
        <x:v>Flower character in full background scene</x:v>
      </x:c>
      <x:c r="L41" s="24" t="str">
        <x:v>red/pink; purple; yellow; green; black</x:v>
      </x:c>
      <x:c r="M41" s="24" t="str">
        <x:v>green; yellow; purple</x:v>
      </x:c>
      <x:c r="N41" s="24" t="n">
        <x:v>5</x:v>
      </x:c>
      <x:c r="O41" s="24" t="str">
        <x:v>Circle becomes a flower-like face with purple petals; full page includes green ground/leaves and yellow background/sky</x:v>
      </x:c>
      <x:c r="P41" s="24" t="str">
        <x:v>flower-character scene transformation</x:v>
      </x:c>
      <x:c r="Q41" s="24" t="str">
        <x:v>petals, facial features, full background, ground/leaf forms, large colored regions</x:v>
      </x:c>
      <x:c r="R41" s="24" t="str">
        <x:v>Multiple coordinated idea elements</x:v>
      </x:c>
      <x:c r="S41" s="24" t="str">
        <x:v>Highly distinctive because the circle is embedded in a complete full-page scene</x:v>
      </x:c>
      <x:c r="T41" s="24" t="str">
        <x:v>Strong green-yellow background with purple petals and red/pink center</x:v>
      </x:c>
      <x:c r="U41" s="24" t="str">
        <x:v>Ask the child to describe the flower's environment and create a second scene showing a different event or season</x:v>
      </x:c>
      <x:c r="V41" s="24"/>
      <x:c r="W41" s="24"/>
      <x:c r="X41" s="24" t="str">
        <x:v>unassigned</x:v>
      </x:c>
      <x:c r="Y41" s="24" t="n">
        <x:v>5</x:v>
      </x:c>
      <x:c r="Z41" s="24" t="n">
        <x:v>5</x:v>
      </x:c>
      <x:c r="AA41" s="24" t="n">
        <x:v>5</x:v>
      </x:c>
      <x:c r="AB41" s="24" t="n">
        <x:v>4</x:v>
      </x:c>
      <x:c r="AC41" s="24" t="n">
        <x:f>SUM(Y41:AB41)</x:f>
        <x:v>19</x:v>
      </x:c>
      <x:c r="AD41" s="25" t="n">
        <x:f>AVERAGE(Y41:AB41)</x:f>
        <x:v>4.75</x:v>
      </x:c>
      <x:c r="AE41" s="24" t="str">
        <x:f>IF(AD41&gt;=4.5,"Very High",IF(AD41&gt;=3.5,"High",IF(AD41&gt;=2.5,"Moderate",IF(AD41&gt;=1.5,"Developing","Low"))))</x:f>
        <x:v>Very High</x:v>
      </x:c>
      <x:c r="AF41" s="24" t="str">
        <x:v>Strong overall creativity with clear transformation, full-scene elaboration and imaginative context beyond the original circle.</x:v>
      </x:c>
      <x:c r="AG41" s="24" t="str">
        <x:v>PRELIMINARY_ONLY</x:v>
      </x:c>
      <x:c r="AH41" s="24" t="str">
        <x:v>Visual review of user-uploaded drawing; color categories approximate; creativity scores are preliminary only.</x:v>
      </x:c>
      <x:c r="AI41" s="24" t="str">
        <x:v>train</x:v>
      </x:c>
      <x:c r="AJ41" s="24"/>
      <x:c r="AK41" s="24"/>
      <x:c r="AL41" s="24"/>
      <x:c r="AM41" s="24"/>
      <x:c r="AN41" s="24"/>
      <x:c r="AO41" s="24" t="str">
        <x:v>descriptive_only_needs_human_scoring</x:v>
      </x:c>
      <x:c r="AP41" s="24" t="str">
        <x:f>IF(COUNT(AJ41:AM41)=4,"FINAL HUMAN-LABEL READY","PROTOTYPE ONLY - HUMAN VALIDATION REQUIRED")</x:f>
        <x:v>PROTOTYPE ONLY - HUMAN VALIDATION REQUIRED</x:v>
      </x:c>
    </x:row>
    <x:row r="42" ht="34" customHeight="1">
      <x:c r="A42" s="24" t="str">
        <x:v>S041</x:v>
      </x:c>
      <x:c r="B42" s="24" t="str">
        <x:v>PC01</x:v>
      </x:c>
      <x:c r="C42" s="24" t="str">
        <x:v>S041_PC01.jpeg</x:v>
      </x:c>
      <x:c r="D42" s="24" t="str">
        <x:v>images/picture_completion/S041_PC01.jpeg</x:v>
      </x:c>
      <x:c r="E42" s="24" t="str">
        <x:v>S041_PC01.jpeg</x:v>
      </x:c>
      <x:c r="F42" s="24" t="n">
        <x:v>960</x:v>
      </x:c>
      <x:c r="G42" s="24" t="n">
        <x:v>1280</x:v>
      </x:c>
      <x:c r="H42" s="25" t="n">
        <x:f>IF(G42=0,"",F42/G42)</x:f>
        <x:v>0.75</x:v>
      </x:c>
      <x:c r="I42" s="24" t="str">
        <x:v>portrait</x:v>
      </x:c>
      <x:c r="J42" s="26" t="n">
        <x:v>61.9</x:v>
      </x:c>
      <x:c r="K42" s="24" t="str">
        <x:v>Rainbow sun/character in decorative sky scene</x:v>
      </x:c>
      <x:c r="L42" s="24" t="str">
        <x:v>yellow; green; red; orange; blue; pink; black</x:v>
      </x:c>
      <x:c r="M42" s="24" t="str">
        <x:v>yellow; multicolor</x:v>
      </x:c>
      <x:c r="N42" s="24" t="n">
        <x:v>7</x:v>
      </x:c>
      <x:c r="O42" s="24" t="str">
        <x:v>Circle becomes a smiling multicolored sun/character with many pointed rays; page also includes blue clouds, rainbow motifs and pink heart-like shapes</x:v>
      </x:c>
      <x:c r="P42" s="24" t="str">
        <x:v>sun-character scene transformation</x:v>
      </x:c>
      <x:c r="Q42" s="24" t="str">
        <x:v>many rays, multicolor bands, facial features, clouds, rainbow motifs, decorative hearts</x:v>
      </x:c>
      <x:c r="R42" s="24" t="str">
        <x:v>Multiple coordinated idea elements</x:v>
      </x:c>
      <x:c r="S42" s="24" t="str">
        <x:v>Highly distinctive because the child expands the circle into a full decorative scene with several additional motifs</x:v>
      </x:c>
      <x:c r="T42" s="24" t="str">
        <x:v>High color diversity with yellow rays and multicolored center</x:v>
      </x:c>
      <x:c r="U42" s="24" t="str">
        <x:v>Ask the child to tell a story about the rainbow sun and create another scene using a different central shape</x:v>
      </x:c>
      <x:c r="V42" s="24"/>
      <x:c r="W42" s="24"/>
      <x:c r="X42" s="24" t="str">
        <x:v>unassigned</x:v>
      </x:c>
      <x:c r="Y42" s="24" t="n">
        <x:v>5</x:v>
      </x:c>
      <x:c r="Z42" s="24" t="n">
        <x:v>5</x:v>
      </x:c>
      <x:c r="AA42" s="24" t="n">
        <x:v>5</x:v>
      </x:c>
      <x:c r="AB42" s="24" t="n">
        <x:v>5</x:v>
      </x:c>
      <x:c r="AC42" s="24" t="n">
        <x:f>SUM(Y42:AB42)</x:f>
        <x:v>20</x:v>
      </x:c>
      <x:c r="AD42" s="25" t="n">
        <x:f>AVERAGE(Y42:AB42)</x:f>
        <x:v>5</x:v>
      </x:c>
      <x:c r="AE42" s="24" t="str">
        <x:f>IF(AD42&gt;=4.5,"Very High",IF(AD42&gt;=3.5,"High",IF(AD42&gt;=2.5,"Moderate",IF(AD42&gt;=1.5,"Developing","Low"))))</x:f>
        <x:v>Very High</x:v>
      </x:c>
      <x:c r="AF42" s="24" t="str">
        <x:v>Very strong elaboration and imaginative scene-building. Multiple different visual elements are combined around the original circle.</x:v>
      </x:c>
      <x:c r="AG42" s="24" t="str">
        <x:v>PRELIMINARY_ONLY</x:v>
      </x:c>
      <x:c r="AH42" s="24" t="str">
        <x:v>Visual review of user-uploaded drawing; color categories approximate; creativity scores are preliminary only.</x:v>
      </x:c>
      <x:c r="AI42" s="24" t="str">
        <x:v>train</x:v>
      </x:c>
      <x:c r="AJ42" s="24"/>
      <x:c r="AK42" s="24"/>
      <x:c r="AL42" s="24"/>
      <x:c r="AM42" s="24"/>
      <x:c r="AN42" s="24"/>
      <x:c r="AO42" s="24" t="str">
        <x:v>descriptive_only_needs_human_scoring</x:v>
      </x:c>
      <x:c r="AP42" s="24" t="str">
        <x:f>IF(COUNT(AJ42:AM42)=4,"FINAL HUMAN-LABEL READY","PROTOTYPE ONLY - HUMAN VALIDATION REQUIRED")</x:f>
        <x:v>PROTOTYPE ONLY - HUMAN VALIDATION REQUIRED</x:v>
      </x:c>
    </x:row>
    <x:row r="43" ht="34" customHeight="1">
      <x:c r="A43" s="24" t="str">
        <x:v>S042</x:v>
      </x:c>
      <x:c r="B43" s="24" t="str">
        <x:v>PC01</x:v>
      </x:c>
      <x:c r="C43" s="24" t="str">
        <x:v>S042_PC01.jpeg</x:v>
      </x:c>
      <x:c r="D43" s="24" t="str">
        <x:v>images/picture_completion/S042_PC01.jpeg</x:v>
      </x:c>
      <x:c r="E43" s="24" t="str">
        <x:v>S042_PC01.jpeg</x:v>
      </x:c>
      <x:c r="F43" s="24" t="n">
        <x:v>960</x:v>
      </x:c>
      <x:c r="G43" s="24" t="n">
        <x:v>1280</x:v>
      </x:c>
      <x:c r="H43" s="25" t="n">
        <x:f>IF(G43=0,"",F43/G43)</x:f>
        <x:v>0.75</x:v>
      </x:c>
      <x:c r="I43" s="24" t="str">
        <x:v>portrait</x:v>
      </x:c>
      <x:c r="J43" s="26" t="n">
        <x:v>67.9</x:v>
      </x:c>
      <x:c r="K43" s="24" t="str">
        <x:v>Animal/character with flowers and outdoor scene</x:v>
      </x:c>
      <x:c r="L43" s="24" t="str">
        <x:v>yellow; pink; orange; brown; green; purple; black</x:v>
      </x:c>
      <x:c r="M43" s="24" t="str">
        <x:v>yellow; pink; orange</x:v>
      </x:c>
      <x:c r="N43" s="24" t="n">
        <x:v>7</x:v>
      </x:c>
      <x:c r="O43" s="24" t="str">
        <x:v>Circle becomes a large smiling animal/character face with ears and body/clothing; surrounding page contains flowers, potted plants, a small sun and orange cloud-like shapes</x:v>
      </x:c>
      <x:c r="P43" s="24" t="str">
        <x:v>character-in-scene transformation</x:v>
      </x:c>
      <x:c r="Q43" s="24" t="str">
        <x:v>ears, facial features, body/clothing, flowers, pots, small sun and surrounding objects</x:v>
      </x:c>
      <x:c r="R43" s="24" t="str">
        <x:v>Multiple coordinated idea elements</x:v>
      </x:c>
      <x:c r="S43" s="24" t="str">
        <x:v>Highly distinctive because the circle is integrated into a complete character plus an environmental scene</x:v>
      </x:c>
      <x:c r="T43" s="24" t="str">
        <x:v>Bright yellow face with pink ears and orange/green/brown scene details</x:v>
      </x:c>
      <x:c r="U43" s="24" t="str">
        <x:v>Ask the child to name the character, explain the setting and add another event or object to the scene</x:v>
      </x:c>
      <x:c r="V43" s="24"/>
      <x:c r="W43" s="24"/>
      <x:c r="X43" s="24" t="str">
        <x:v>unassigned</x:v>
      </x:c>
      <x:c r="Y43" s="24" t="n">
        <x:v>5</x:v>
      </x:c>
      <x:c r="Z43" s="24" t="n">
        <x:v>5</x:v>
      </x:c>
      <x:c r="AA43" s="24" t="n">
        <x:v>5</x:v>
      </x:c>
      <x:c r="AB43" s="24" t="n">
        <x:v>5</x:v>
      </x:c>
      <x:c r="AC43" s="24" t="n">
        <x:f>SUM(Y43:AB43)</x:f>
        <x:v>20</x:v>
      </x:c>
      <x:c r="AD43" s="25" t="n">
        <x:f>AVERAGE(Y43:AB43)</x:f>
        <x:v>5</x:v>
      </x:c>
      <x:c r="AE43" s="24" t="str">
        <x:f>IF(AD43&gt;=4.5,"Very High",IF(AD43&gt;=3.5,"High",IF(AD43&gt;=2.5,"Moderate",IF(AD43&gt;=1.5,"Developing","Low"))))</x:f>
        <x:v>Very High</x:v>
      </x:c>
      <x:c r="AF43" s="24" t="str">
        <x:v>Strong scene construction, multiple object categories and extensive detail make this one of the more creative completions.</x:v>
      </x:c>
      <x:c r="AG43" s="24" t="str">
        <x:v>PRELIMINARY_ONLY</x:v>
      </x:c>
      <x:c r="AH43" s="24" t="str">
        <x:v>Visual review of user-uploaded drawing; exact animal/character identity should be confirmed with the child.</x:v>
      </x:c>
      <x:c r="AI43" s="24" t="str">
        <x:v>train</x:v>
      </x:c>
      <x:c r="AJ43" s="24"/>
      <x:c r="AK43" s="24"/>
      <x:c r="AL43" s="24"/>
      <x:c r="AM43" s="24"/>
      <x:c r="AN43" s="24"/>
      <x:c r="AO43" s="24" t="str">
        <x:v>descriptive_only_needs_human_scoring</x:v>
      </x:c>
      <x:c r="AP43" s="24" t="str">
        <x:f>IF(COUNT(AJ43:AM43)=4,"FINAL HUMAN-LABEL READY","PROTOTYPE ONLY - HUMAN VALIDATION REQUIRED")</x:f>
        <x:v>PROTOTYPE ONLY - HUMAN VALIDATION REQUIRED</x:v>
      </x:c>
    </x:row>
    <x:row r="44" ht="34" customHeight="1">
      <x:c r="A44" s="24" t="str">
        <x:v>S043</x:v>
      </x:c>
      <x:c r="B44" s="24" t="str">
        <x:v>PC01</x:v>
      </x:c>
      <x:c r="C44" s="24" t="str">
        <x:v>S043_PC01.jpeg</x:v>
      </x:c>
      <x:c r="D44" s="24" t="str">
        <x:v>images/picture_completion/S043_PC01.jpeg</x:v>
      </x:c>
      <x:c r="E44" s="24" t="str">
        <x:v>S043_PC01.jpeg</x:v>
      </x:c>
      <x:c r="F44" s="24" t="n">
        <x:v>1280</x:v>
      </x:c>
      <x:c r="G44" s="24" t="n">
        <x:v>960</x:v>
      </x:c>
      <x:c r="H44" s="25" t="n">
        <x:f>IF(G44=0,"",F44/G44)</x:f>
        <x:v>1.3333333333333333</x:v>
      </x:c>
      <x:c r="I44" s="24" t="str">
        <x:v>landscape</x:v>
      </x:c>
      <x:c r="J44" s="26" t="n">
        <x:v>48.5</x:v>
      </x:c>
      <x:c r="K44" s="24" t="str">
        <x:v>Rabbit in garden scene</x:v>
      </x:c>
      <x:c r="L44" s="24" t="str">
        <x:v>pink; red; orange; green; blue; yellow; black/gray</x:v>
      </x:c>
      <x:c r="M44" s="24" t="str">
        <x:v>pink; green; blue</x:v>
      </x:c>
      <x:c r="N44" s="24" t="n">
        <x:v>7</x:v>
      </x:c>
      <x:c r="O44" s="24" t="str">
        <x:v>Circle becomes a rabbit face with long ears; surrounding scene includes rabbit body, carrot, flowers, clouds and a smiling sun</x:v>
      </x:c>
      <x:c r="P44" s="24" t="str">
        <x:v>animal-in-scene transformation</x:v>
      </x:c>
      <x:c r="Q44" s="24" t="str">
        <x:v>ears, face, body, carrot, flowers, clouds, sun and ground elements</x:v>
      </x:c>
      <x:c r="R44" s="24" t="str">
        <x:v>Multiple coordinated idea elements</x:v>
      </x:c>
      <x:c r="S44" s="24" t="str">
        <x:v>Highly distinctive because the child creates a recognizable animal and a complete garden-like setting</x:v>
      </x:c>
      <x:c r="T44" s="24" t="str">
        <x:v>Soft pink rabbit with bright blue, green, orange and yellow scene colors</x:v>
      </x:c>
      <x:c r="U44" s="24" t="str">
        <x:v>Ask the child to tell a short story about the rabbit and invent another place for the rabbit to visit</x:v>
      </x:c>
      <x:c r="V44" s="24"/>
      <x:c r="W44" s="24"/>
      <x:c r="X44" s="24" t="str">
        <x:v>unassigned</x:v>
      </x:c>
      <x:c r="Y44" s="24" t="n">
        <x:v>5</x:v>
      </x:c>
      <x:c r="Z44" s="24" t="n">
        <x:v>5</x:v>
      </x:c>
      <x:c r="AA44" s="24" t="n">
        <x:v>5</x:v>
      </x:c>
      <x:c r="AB44" s="24" t="n">
        <x:v>5</x:v>
      </x:c>
      <x:c r="AC44" s="24" t="n">
        <x:f>SUM(Y44:AB44)</x:f>
        <x:v>20</x:v>
      </x:c>
      <x:c r="AD44" s="25" t="n">
        <x:f>AVERAGE(Y44:AB44)</x:f>
        <x:v>5</x:v>
      </x:c>
      <x:c r="AE44" s="24" t="str">
        <x:f>IF(AD44&gt;=4.5,"Very High",IF(AD44&gt;=3.5,"High",IF(AD44&gt;=2.5,"Moderate",IF(AD44&gt;=1.5,"Developing","Low"))))</x:f>
        <x:v>Very High</x:v>
      </x:c>
      <x:c r="AF44" s="24" t="str">
        <x:v>Clear transformation of the circle into an animal plus several context objects demonstrates strong elaboration, imagination and visible idea variety.</x:v>
      </x:c>
      <x:c r="AG44" s="24" t="str">
        <x:v>PRELIMINARY_ONLY</x:v>
      </x:c>
      <x:c r="AH44" s="24" t="str">
        <x:v>Visual review of user-uploaded drawing; creativity scores are preliminary only.</x:v>
      </x:c>
      <x:c r="AI44" s="24" t="str">
        <x:v>train</x:v>
      </x:c>
      <x:c r="AJ44" s="24"/>
      <x:c r="AK44" s="24"/>
      <x:c r="AL44" s="24"/>
      <x:c r="AM44" s="24"/>
      <x:c r="AN44" s="24"/>
      <x:c r="AO44" s="24" t="str">
        <x:v>descriptive_only_needs_human_scoring</x:v>
      </x:c>
      <x:c r="AP44" s="24" t="str">
        <x:f>IF(COUNT(AJ44:AM44)=4,"FINAL HUMAN-LABEL READY","PROTOTYPE ONLY - HUMAN VALIDATION REQUIRED")</x:f>
        <x:v>PROTOTYPE ONLY - HUMAN VALIDATION REQUIRED</x:v>
      </x:c>
    </x:row>
    <x:row r="45" ht="34" customHeight="1">
      <x:c r="A45" s="24" t="str">
        <x:v>S044</x:v>
      </x:c>
      <x:c r="B45" s="24" t="str">
        <x:v>PC01</x:v>
      </x:c>
      <x:c r="C45" s="24" t="str">
        <x:v>S044_PC01.jpeg</x:v>
      </x:c>
      <x:c r="D45" s="24" t="str">
        <x:v>images/picture_completion/S044_PC01.jpeg</x:v>
      </x:c>
      <x:c r="E45" s="24" t="str">
        <x:v>S044_PC01.jpeg</x:v>
      </x:c>
      <x:c r="F45" s="24" t="n">
        <x:v>1280</x:v>
      </x:c>
      <x:c r="G45" s="24" t="n">
        <x:v>960</x:v>
      </x:c>
      <x:c r="H45" s="25" t="n">
        <x:f>IF(G45=0,"",F45/G45)</x:f>
        <x:v>1.3333333333333333</x:v>
      </x:c>
      <x:c r="I45" s="24" t="str">
        <x:v>landscape</x:v>
      </x:c>
      <x:c r="J45" s="26" t="n">
        <x:v>38.3</x:v>
      </x:c>
      <x:c r="K45" s="24" t="str">
        <x:v>Apple-like face/fruit character</x:v>
      </x:c>
      <x:c r="L45" s="24" t="str">
        <x:v>yellow; orange/red; black</x:v>
      </x:c>
      <x:c r="M45" s="24" t="str">
        <x:v>yellow</x:v>
      </x:c>
      <x:c r="N45" s="24" t="n">
        <x:v>3</x:v>
      </x:c>
      <x:c r="O45" s="24" t="str">
        <x:v>Circle filled yellow with a small red/orange stem-like mark and simple facial features, including one open eye and one curved eye</x:v>
      </x:c>
      <x:c r="P45" s="24" t="str">
        <x:v>fruit/face transformation</x:v>
      </x:c>
      <x:c r="Q45" s="24" t="str">
        <x:v>stem-like detail, eyes and simple expression</x:v>
      </x:c>
      <x:c r="R45" s="24" t="str">
        <x:v>One main idea</x:v>
      </x:c>
      <x:c r="S45" s="24" t="str">
        <x:v>Somewhat distinctive as a fruit-like interpretation, but visual detail is limited</x:v>
      </x:c>
      <x:c r="T45" s="24" t="str">
        <x:v>Yellow-dominant with small red/orange accent</x:v>
      </x:c>
      <x:c r="U45" s="24" t="str">
        <x:v>Ask the child to turn the fruit into a full character by adding leaves, body, setting or another fruit friend</x:v>
      </x:c>
      <x:c r="V45" s="24"/>
      <x:c r="W45" s="24"/>
      <x:c r="X45" s="24" t="str">
        <x:v>unassigned</x:v>
      </x:c>
      <x:c r="Y45" s="24" t="n">
        <x:v>3</x:v>
      </x:c>
      <x:c r="Z45" s="24" t="n">
        <x:v>2</x:v>
      </x:c>
      <x:c r="AA45" s="24" t="n">
        <x:v>3</x:v>
      </x:c>
      <x:c r="AB45" s="24" t="n">
        <x:v>2</x:v>
      </x:c>
      <x:c r="AC45" s="24" t="n">
        <x:f>SUM(Y45:AB45)</x:f>
        <x:v>10</x:v>
      </x:c>
      <x:c r="AD45" s="25" t="n">
        <x:f>AVERAGE(Y45:AB45)</x:f>
        <x:v>2.5</x:v>
      </x:c>
      <x:c r="AE45" s="24" t="str">
        <x:f>IF(AD45&gt;=4.5,"Very High",IF(AD45&gt;=3.5,"High",IF(AD45&gt;=2.5,"Moderate",IF(AD45&gt;=1.5,"Developing","Low"))))</x:f>
        <x:v>Moderate</x:v>
      </x:c>
      <x:c r="AF45" s="24" t="str">
        <x:v>Potential fruit transformation gives moderate originality, but the drawing contains relatively few added details.</x:v>
      </x:c>
      <x:c r="AG45" s="24" t="str">
        <x:v>PRELIMINARY_ONLY</x:v>
      </x:c>
      <x:c r="AH45" s="24" t="str">
        <x:v>Visual review of user-uploaded drawing; fruit interpretation is tentative and should be confirmed with the child.</x:v>
      </x:c>
      <x:c r="AI45" s="24" t="str">
        <x:v>train</x:v>
      </x:c>
      <x:c r="AJ45" s="24"/>
      <x:c r="AK45" s="24"/>
      <x:c r="AL45" s="24"/>
      <x:c r="AM45" s="24"/>
      <x:c r="AN45" s="24"/>
      <x:c r="AO45" s="24" t="str">
        <x:v>descriptive_only_needs_human_scoring</x:v>
      </x:c>
      <x:c r="AP45" s="24" t="str">
        <x:f>IF(COUNT(AJ45:AM45)=4,"FINAL HUMAN-LABEL READY","PROTOTYPE ONLY - HUMAN VALIDATION REQUIRED")</x:f>
        <x:v>PROTOTYPE ONLY - HUMAN VALIDATION REQUIRED</x:v>
      </x:c>
    </x:row>
    <x:row r="46" ht="34" customHeight="1">
      <x:c r="A46" s="24" t="str">
        <x:v>S045</x:v>
      </x:c>
      <x:c r="B46" s="24" t="str">
        <x:v>PC01</x:v>
      </x:c>
      <x:c r="C46" s="24" t="str">
        <x:v>S045_PC01.jpeg</x:v>
      </x:c>
      <x:c r="D46" s="24" t="str">
        <x:v>images/picture_completion/S045_PC01.jpeg</x:v>
      </x:c>
      <x:c r="E46" s="24" t="str">
        <x:v>S045_PC01.jpeg</x:v>
      </x:c>
      <x:c r="F46" s="24" t="n">
        <x:v>1280</x:v>
      </x:c>
      <x:c r="G46" s="24" t="n">
        <x:v>960</x:v>
      </x:c>
      <x:c r="H46" s="25" t="n">
        <x:f>IF(G46=0,"",F46/G46)</x:f>
        <x:v>1.3333333333333333</x:v>
      </x:c>
      <x:c r="I46" s="24" t="str">
        <x:v>landscape</x:v>
      </x:c>
      <x:c r="J46" s="26" t="n">
        <x:v>114.1</x:v>
      </x:c>
      <x:c r="K46" s="24" t="str">
        <x:v>Smiling sun in full blue-sky scene</x:v>
      </x:c>
      <x:c r="L46" s="24" t="str">
        <x:v>yellow; blue; black</x:v>
      </x:c>
      <x:c r="M46" s="24" t="str">
        <x:v>blue; yellow</x:v>
      </x:c>
      <x:c r="N46" s="24" t="n">
        <x:v>3</x:v>
      </x:c>
      <x:c r="O46" s="24" t="str">
        <x:v>Circle becomes a smiling sun with many yellow rays; nearly the full page is colored blue with multiple cloud shapes and handwritten marks/text near the bottom</x:v>
      </x:c>
      <x:c r="P46" s="24" t="str">
        <x:v>sun-in-scene transformation</x:v>
      </x:c>
      <x:c r="Q46" s="24" t="str">
        <x:v>many rays, smiling face, full-page sky, multiple clouds, extensive background coloring</x:v>
      </x:c>
      <x:c r="R46" s="24" t="str">
        <x:v>One main concept with several contextual elements</x:v>
      </x:c>
      <x:c r="S46" s="24" t="str">
        <x:v>Sun is common, but the full-page sky and cloud environment make this response much more elaborated than simple sun drawings</x:v>
      </x:c>
      <x:c r="T46" s="24" t="str">
        <x:v>Strong blue background with bright yellow sun</x:v>
      </x:c>
      <x:c r="U46" s="24" t="str">
        <x:v>Ask the child to explain the sky scene and add weather, birds, buildings or another story event</x:v>
      </x:c>
      <x:c r="V46" s="24"/>
      <x:c r="W46" s="24"/>
      <x:c r="X46" s="24" t="str">
        <x:v>unassigned</x:v>
      </x:c>
      <x:c r="Y46" s="24" t="n">
        <x:v>3</x:v>
      </x:c>
      <x:c r="Z46" s="24" t="n">
        <x:v>5</x:v>
      </x:c>
      <x:c r="AA46" s="24" t="n">
        <x:v>4</x:v>
      </x:c>
      <x:c r="AB46" s="24" t="n">
        <x:v>4</x:v>
      </x:c>
      <x:c r="AC46" s="24" t="n">
        <x:f>SUM(Y46:AB46)</x:f>
        <x:v>16</x:v>
      </x:c>
      <x:c r="AD46" s="25" t="n">
        <x:f>AVERAGE(Y46:AB46)</x:f>
        <x:v>4</x:v>
      </x:c>
      <x:c r="AE46" s="24" t="str">
        <x:f>IF(AD46&gt;=4.5,"Very High",IF(AD46&gt;=3.5,"High",IF(AD46&gt;=2.5,"Moderate",IF(AD46&gt;=1.5,"Developing","Low"))))</x:f>
        <x:v>High</x:v>
      </x:c>
      <x:c r="AF46" s="24" t="str">
        <x:v>Core sun idea is common, but the extensive background and cloud details substantially increase elaboration and imaginative context.</x:v>
      </x:c>
      <x:c r="AG46" s="24" t="str">
        <x:v>PRELIMINARY_ONLY</x:v>
      </x:c>
      <x:c r="AH46" s="24" t="str">
        <x:v>Visual review of user-uploaded drawing; handwritten marks are not interpreted.</x:v>
      </x:c>
      <x:c r="AI46" s="24" t="str">
        <x:v>train</x:v>
      </x:c>
      <x:c r="AJ46" s="24"/>
      <x:c r="AK46" s="24"/>
      <x:c r="AL46" s="24"/>
      <x:c r="AM46" s="24"/>
      <x:c r="AN46" s="24"/>
      <x:c r="AO46" s="24" t="str">
        <x:v>descriptive_only_needs_human_scoring</x:v>
      </x:c>
      <x:c r="AP46" s="24" t="str">
        <x:f>IF(COUNT(AJ46:AM46)=4,"FINAL HUMAN-LABEL READY","PROTOTYPE ONLY - HUMAN VALIDATION REQUIRED")</x:f>
        <x:v>PROTOTYPE ONLY - HUMAN VALIDATION REQUIRED</x:v>
      </x:c>
    </x:row>
    <x:row r="47" ht="34" customHeight="1">
      <x:c r="A47" s="24" t="str">
        <x:v>S046</x:v>
      </x:c>
      <x:c r="B47" s="24" t="str">
        <x:v>PC01</x:v>
      </x:c>
      <x:c r="C47" s="24" t="str">
        <x:v>S046_PC01.jpeg</x:v>
      </x:c>
      <x:c r="D47" s="24" t="str">
        <x:v>images/picture_completion/S046_PC01.jpeg</x:v>
      </x:c>
      <x:c r="E47" s="24" t="str">
        <x:v>S046_PC01.jpeg</x:v>
      </x:c>
      <x:c r="F47" s="24" t="n">
        <x:v>1280</x:v>
      </x:c>
      <x:c r="G47" s="24" t="n">
        <x:v>960</x:v>
      </x:c>
      <x:c r="H47" s="25" t="n">
        <x:f>IF(G47=0,"",F47/G47)</x:f>
        <x:v>1.3333333333333333</x:v>
      </x:c>
      <x:c r="I47" s="24" t="str">
        <x:v>landscape</x:v>
      </x:c>
      <x:c r="J47" s="26" t="n">
        <x:v>41.6</x:v>
      </x:c>
      <x:c r="K47" s="24" t="str">
        <x:v>Bird/water scene with second bird</x:v>
      </x:c>
      <x:c r="L47" s="24" t="str">
        <x:v>green; yellow; blue; red; black/gray</x:v>
      </x:c>
      <x:c r="M47" s="24" t="str">
        <x:v>green; blue</x:v>
      </x:c>
      <x:c r="N47" s="24" t="n">
        <x:v>5</x:v>
      </x:c>
      <x:c r="O47" s="24" t="str">
        <x:v>Inside the circle is a large bird-like figure near blue water lines; outside the circle a second green bird-like figure is drawn on a simple perch/line</x:v>
      </x:c>
      <x:c r="P47" s="24" t="str">
        <x:v>animal scene transformation</x:v>
      </x:c>
      <x:c r="Q47" s="24" t="str">
        <x:v>large bird figure, water lines, second bird, perch/legs, several anatomical details</x:v>
      </x:c>
      <x:c r="R47" s="24" t="str">
        <x:v>Multiple coordinated idea elements</x:v>
      </x:c>
      <x:c r="S47" s="24" t="str">
        <x:v>Very distinctive because the circle is used as a scene containing an animal while another related animal is added outside</x:v>
      </x:c>
      <x:c r="T47" s="24" t="str">
        <x:v>Green bird with blue water and small red/yellow accents</x:v>
      </x:c>
      <x:c r="U47" s="24" t="str">
        <x:v>Ask the child to explain how the two birds are related and expand the scene with habitat details</x:v>
      </x:c>
      <x:c r="V47" s="24"/>
      <x:c r="W47" s="24"/>
      <x:c r="X47" s="24" t="str">
        <x:v>unassigned</x:v>
      </x:c>
      <x:c r="Y47" s="24" t="n">
        <x:v>5</x:v>
      </x:c>
      <x:c r="Z47" s="24" t="n">
        <x:v>4</x:v>
      </x:c>
      <x:c r="AA47" s="24" t="n">
        <x:v>5</x:v>
      </x:c>
      <x:c r="AB47" s="24" t="n">
        <x:v>5</x:v>
      </x:c>
      <x:c r="AC47" s="24" t="n">
        <x:f>SUM(Y47:AB47)</x:f>
        <x:v>19</x:v>
      </x:c>
      <x:c r="AD47" s="25" t="n">
        <x:f>AVERAGE(Y47:AB47)</x:f>
        <x:v>4.75</x:v>
      </x:c>
      <x:c r="AE47" s="24" t="str">
        <x:f>IF(AD47&gt;=4.5,"Very High",IF(AD47&gt;=3.5,"High",IF(AD47&gt;=2.5,"Moderate",IF(AD47&gt;=1.5,"Developing","Low"))))</x:f>
        <x:v>Very High</x:v>
      </x:c>
      <x:c r="AF47" s="24" t="str">
        <x:v>Uncommon animal-scene interpretation with relational elements inside and outside the circle supports high originality and imagination.</x:v>
      </x:c>
      <x:c r="AG47" s="24" t="str">
        <x:v>PRELIMINARY_ONLY</x:v>
      </x:c>
      <x:c r="AH47" s="24" t="str">
        <x:v>Visual review of user-uploaded drawing; exact bird species/scene should be confirmed with the child.</x:v>
      </x:c>
      <x:c r="AI47" s="24" t="str">
        <x:v>train</x:v>
      </x:c>
      <x:c r="AJ47" s="24"/>
      <x:c r="AK47" s="24"/>
      <x:c r="AL47" s="24"/>
      <x:c r="AM47" s="24"/>
      <x:c r="AN47" s="24"/>
      <x:c r="AO47" s="24" t="str">
        <x:v>descriptive_only_needs_human_scoring</x:v>
      </x:c>
      <x:c r="AP47" s="24" t="str">
        <x:f>IF(COUNT(AJ47:AM47)=4,"FINAL HUMAN-LABEL READY","PROTOTYPE ONLY - HUMAN VALIDATION REQUIRED")</x:f>
        <x:v>PROTOTYPE ONLY - HUMAN VALIDATION REQUIRED</x:v>
      </x:c>
    </x:row>
    <x:row r="48" ht="34" customHeight="1">
      <x:c r="A48" s="24" t="str">
        <x:v>S047</x:v>
      </x:c>
      <x:c r="B48" s="24" t="str">
        <x:v>PC01</x:v>
      </x:c>
      <x:c r="C48" s="24" t="str">
        <x:v>S047_PC01.jpeg</x:v>
      </x:c>
      <x:c r="D48" s="24" t="str">
        <x:v>images/picture_completion/S047_PC01.jpeg</x:v>
      </x:c>
      <x:c r="E48" s="24" t="str">
        <x:v>S047_PC01.jpeg</x:v>
      </x:c>
      <x:c r="F48" s="24" t="n">
        <x:v>1280</x:v>
      </x:c>
      <x:c r="G48" s="24" t="n">
        <x:v>960</x:v>
      </x:c>
      <x:c r="H48" s="25" t="n">
        <x:f>IF(G48=0,"",F48/G48)</x:f>
        <x:v>1.3333333333333333</x:v>
      </x:c>
      <x:c r="I48" s="24" t="str">
        <x:v>landscape</x:v>
      </x:c>
      <x:c r="J48" s="26" t="n">
        <x:v>54.7</x:v>
      </x:c>
      <x:c r="K48" s="24" t="str">
        <x:v>Color wheel / pinwheel / lollipop-like object</x:v>
      </x:c>
      <x:c r="L48" s="24" t="str">
        <x:v>red; orange; pink; blue; yellow; green; black</x:v>
      </x:c>
      <x:c r="M48" s="24" t="str">
        <x:v>multicolor</x:v>
      </x:c>
      <x:c r="N48" s="24" t="n">
        <x:v>7</x:v>
      </x:c>
      <x:c r="O48" s="24" t="str">
        <x:v>Circle is divided into several colored triangular segments around a dark center, with a long black handle/stem extending from the circle</x:v>
      </x:c>
      <x:c r="P48" s="24" t="str">
        <x:v>object transformation</x:v>
      </x:c>
      <x:c r="Q48" s="24" t="str">
        <x:v>segmented color wheel, central hub and long handle/stem</x:v>
      </x:c>
      <x:c r="R48" s="24" t="str">
        <x:v>One main idea with multiple patterned sections</x:v>
      </x:c>
      <x:c r="S48" s="24" t="str">
        <x:v>Highly distinctive because the circle is transformed into a structured multicolored object rather than a face or sun</x:v>
      </x:c>
      <x:c r="T48" s="24" t="str">
        <x:v>High color diversity arranged in radial segments</x:v>
      </x:c>
      <x:c r="U48" s="24" t="str">
        <x:v>Ask the child what the object does and create a second version with a different pattern or purpose</x:v>
      </x:c>
      <x:c r="V48" s="24"/>
      <x:c r="W48" s="24"/>
      <x:c r="X48" s="24" t="str">
        <x:v>unassigned</x:v>
      </x:c>
      <x:c r="Y48" s="24" t="n">
        <x:v>5</x:v>
      </x:c>
      <x:c r="Z48" s="24" t="n">
        <x:v>4</x:v>
      </x:c>
      <x:c r="AA48" s="24" t="n">
        <x:v>5</x:v>
      </x:c>
      <x:c r="AB48" s="24" t="n">
        <x:v>4</x:v>
      </x:c>
      <x:c r="AC48" s="24" t="n">
        <x:f>SUM(Y48:AB48)</x:f>
        <x:v>18</x:v>
      </x:c>
      <x:c r="AD48" s="25" t="n">
        <x:f>AVERAGE(Y48:AB48)</x:f>
        <x:v>4.5</x:v>
      </x:c>
      <x:c r="AE48" s="24" t="str">
        <x:f>IF(AD48&gt;=4.5,"Very High",IF(AD48&gt;=3.5,"High",IF(AD48&gt;=2.5,"Moderate",IF(AD48&gt;=1.5,"Developing","Low"))))</x:f>
        <x:v>Very High</x:v>
      </x:c>
      <x:c r="AF48" s="24" t="str">
        <x:v>Strong structural transformation and unusual radial design make this highly original within the sample.</x:v>
      </x:c>
      <x:c r="AG48" s="24" t="str">
        <x:v>PRELIMINARY_ONLY</x:v>
      </x:c>
      <x:c r="AH48" s="24" t="str">
        <x:v>Visual review of user-uploaded drawing; exact object identity should be confirmed with the child.</x:v>
      </x:c>
      <x:c r="AI48" s="24" t="str">
        <x:v>train</x:v>
      </x:c>
      <x:c r="AJ48" s="24"/>
      <x:c r="AK48" s="24"/>
      <x:c r="AL48" s="24"/>
      <x:c r="AM48" s="24"/>
      <x:c r="AN48" s="24"/>
      <x:c r="AO48" s="24" t="str">
        <x:v>descriptive_only_needs_human_scoring</x:v>
      </x:c>
      <x:c r="AP48" s="24" t="str">
        <x:f>IF(COUNT(AJ48:AM48)=4,"FINAL HUMAN-LABEL READY","PROTOTYPE ONLY - HUMAN VALIDATION REQUIRED")</x:f>
        <x:v>PROTOTYPE ONLY - HUMAN VALIDATION REQUIRED</x:v>
      </x:c>
    </x:row>
    <x:row r="49" ht="34" customHeight="1">
      <x:c r="A49" s="24" t="str">
        <x:v>S048</x:v>
      </x:c>
      <x:c r="B49" s="24" t="str">
        <x:v>PC01</x:v>
      </x:c>
      <x:c r="C49" s="24" t="str">
        <x:v>S048_PC01.jpeg</x:v>
      </x:c>
      <x:c r="D49" s="24" t="str">
        <x:v>images/picture_completion/S048_PC01.jpeg</x:v>
      </x:c>
      <x:c r="E49" s="24" t="str">
        <x:v>S048_PC01.jpeg</x:v>
      </x:c>
      <x:c r="F49" s="24" t="n">
        <x:v>1280</x:v>
      </x:c>
      <x:c r="G49" s="24" t="n">
        <x:v>960</x:v>
      </x:c>
      <x:c r="H49" s="25" t="n">
        <x:f>IF(G49=0,"",F49/G49)</x:f>
        <x:v>1.3333333333333333</x:v>
      </x:c>
      <x:c r="I49" s="24" t="str">
        <x:v>landscape</x:v>
      </x:c>
      <x:c r="J49" s="26" t="n">
        <x:v>39</x:v>
      </x:c>
      <x:c r="K49" s="24" t="str">
        <x:v>Bird/peacock-like figure inside circle</x:v>
      </x:c>
      <x:c r="L49" s="24" t="str">
        <x:v>green; yellow; purple; black/gray</x:v>
      </x:c>
      <x:c r="M49" s="24" t="str">
        <x:v>green</x:v>
      </x:c>
      <x:c r="N49" s="24" t="n">
        <x:v>4</x:v>
      </x:c>
      <x:c r="O49" s="24" t="str">
        <x:v>Circle contains a large green bird-like figure with a yellow head area, purple crest and visible legs/feet</x:v>
      </x:c>
      <x:c r="P49" s="24" t="str">
        <x:v>animal transformation</x:v>
      </x:c>
      <x:c r="Q49" s="24" t="str">
        <x:v>body, head, beak-like form, crest, legs and internal contour details</x:v>
      </x:c>
      <x:c r="R49" s="24" t="str">
        <x:v>One main idea</x:v>
      </x:c>
      <x:c r="S49" s="24" t="str">
        <x:v>Distinctive animal interpretation compared with the many face and sun responses</x:v>
      </x:c>
      <x:c r="T49" s="24" t="str">
        <x:v>Green-dominant with yellow head and purple crest</x:v>
      </x:c>
      <x:c r="U49" s="24" t="str">
        <x:v>Ask the child to name the bird, describe where it lives and add a habitat or another animal</x:v>
      </x:c>
      <x:c r="V49" s="24"/>
      <x:c r="W49" s="24"/>
      <x:c r="X49" s="24" t="str">
        <x:v>unassigned</x:v>
      </x:c>
      <x:c r="Y49" s="24" t="n">
        <x:v>5</x:v>
      </x:c>
      <x:c r="Z49" s="24" t="n">
        <x:v>4</x:v>
      </x:c>
      <x:c r="AA49" s="24" t="n">
        <x:v>5</x:v>
      </x:c>
      <x:c r="AB49" s="24" t="n">
        <x:v>3</x:v>
      </x:c>
      <x:c r="AC49" s="24" t="n">
        <x:f>SUM(Y49:AB49)</x:f>
        <x:v>17</x:v>
      </x:c>
      <x:c r="AD49" s="25" t="n">
        <x:f>AVERAGE(Y49:AB49)</x:f>
        <x:v>4.25</x:v>
      </x:c>
      <x:c r="AE49" s="24" t="str">
        <x:f>IF(AD49&gt;=4.5,"Very High",IF(AD49&gt;=3.5,"High",IF(AD49&gt;=2.5,"Moderate",IF(AD49&gt;=1.5,"Developing","Low"))))</x:f>
        <x:v>High</x:v>
      </x:c>
      <x:c r="AF49" s="24" t="str">
        <x:v>Uncommon animal interpretation with multiple recognizable anatomical details supports high originality and imagination.</x:v>
      </x:c>
      <x:c r="AG49" s="24" t="str">
        <x:v>PRELIMINARY_ONLY</x:v>
      </x:c>
      <x:c r="AH49" s="24" t="str">
        <x:v>Visual review of user-uploaded drawing; exact bird identity is tentative.</x:v>
      </x:c>
      <x:c r="AI49" s="24" t="str">
        <x:v>train</x:v>
      </x:c>
      <x:c r="AJ49" s="24"/>
      <x:c r="AK49" s="24"/>
      <x:c r="AL49" s="24"/>
      <x:c r="AM49" s="24"/>
      <x:c r="AN49" s="24"/>
      <x:c r="AO49" s="24" t="str">
        <x:v>descriptive_only_needs_human_scoring</x:v>
      </x:c>
      <x:c r="AP49" s="24" t="str">
        <x:f>IF(COUNT(AJ49:AM49)=4,"FINAL HUMAN-LABEL READY","PROTOTYPE ONLY - HUMAN VALIDATION REQUIRED")</x:f>
        <x:v>PROTOTYPE ONLY - HUMAN VALIDATION REQUIRED</x:v>
      </x:c>
    </x:row>
    <x:row r="50" ht="34" customHeight="1">
      <x:c r="A50" s="24" t="str">
        <x:v>S049</x:v>
      </x:c>
      <x:c r="B50" s="24" t="str">
        <x:v>PC01</x:v>
      </x:c>
      <x:c r="C50" s="24" t="str">
        <x:v>S049_PC01.jpeg</x:v>
      </x:c>
      <x:c r="D50" s="24" t="str">
        <x:v>images/picture_completion/S049_PC01.jpeg</x:v>
      </x:c>
      <x:c r="E50" s="24" t="str">
        <x:v>S049_PC01.jpeg</x:v>
      </x:c>
      <x:c r="F50" s="24" t="n">
        <x:v>1280</x:v>
      </x:c>
      <x:c r="G50" s="24" t="n">
        <x:v>960</x:v>
      </x:c>
      <x:c r="H50" s="25" t="n">
        <x:f>IF(G50=0,"",F50/G50)</x:f>
        <x:v>1.3333333333333333</x:v>
      </x:c>
      <x:c r="I50" s="24" t="str">
        <x:v>landscape</x:v>
      </x:c>
      <x:c r="J50" s="26" t="n">
        <x:v>46.9</x:v>
      </x:c>
      <x:c r="K50" s="24" t="str">
        <x:v>Simple landscape with two trees</x:v>
      </x:c>
      <x:c r="L50" s="24" t="str">
        <x:v>green; orange/red; black/gray</x:v>
      </x:c>
      <x:c r="M50" s="24" t="str">
        <x:v>green; orange/red</x:v>
      </x:c>
      <x:c r="N50" s="24" t="n">
        <x:v>3</x:v>
      </x:c>
      <x:c r="O50" s="24" t="str">
        <x:v>Circle contains two green tree-like forms with trunks/stems, green ground or foliage at one side and an orange/red ground/sky band on the opposite side</x:v>
      </x:c>
      <x:c r="P50" s="24" t="str">
        <x:v>landscape scene transformation</x:v>
      </x:c>
      <x:c r="Q50" s="24" t="str">
        <x:v>two trees, ground/foliage regions and simple spatial composition</x:v>
      </x:c>
      <x:c r="R50" s="24" t="str">
        <x:v>Several related scene elements</x:v>
      </x:c>
      <x:c r="S50" s="24" t="str">
        <x:v>Distinctive because the circle is used as a small landscape rather than a face or sun</x:v>
      </x:c>
      <x:c r="T50" s="24" t="str">
        <x:v>Green vegetation contrasted with orange/red band</x:v>
      </x:c>
      <x:c r="U50" s="24" t="str">
        <x:v>Ask the child to add animals, weather or buildings and describe what is happening in the landscape</x:v>
      </x:c>
      <x:c r="V50" s="24"/>
      <x:c r="W50" s="24"/>
      <x:c r="X50" s="24" t="str">
        <x:v>unassigned</x:v>
      </x:c>
      <x:c r="Y50" s="24" t="n">
        <x:v>4</x:v>
      </x:c>
      <x:c r="Z50" s="24" t="n">
        <x:v>3</x:v>
      </x:c>
      <x:c r="AA50" s="24" t="n">
        <x:v>4</x:v>
      </x:c>
      <x:c r="AB50" s="24" t="n">
        <x:v>3</x:v>
      </x:c>
      <x:c r="AC50" s="24" t="n">
        <x:f>SUM(Y50:AB50)</x:f>
        <x:v>14</x:v>
      </x:c>
      <x:c r="AD50" s="25" t="n">
        <x:f>AVERAGE(Y50:AB50)</x:f>
        <x:v>3.5</x:v>
      </x:c>
      <x:c r="AE50" s="24" t="str">
        <x:f>IF(AD50&gt;=4.5,"Very High",IF(AD50&gt;=3.5,"High",IF(AD50&gt;=2.5,"Moderate",IF(AD50&gt;=1.5,"Developing","Low"))))</x:f>
        <x:v>High</x:v>
      </x:c>
      <x:c r="AF50" s="24" t="str">
        <x:v>Landscape use of the circle is relatively uncommon and shows contextual imagination, though details are still limited.</x:v>
      </x:c>
      <x:c r="AG50" s="24" t="str">
        <x:v>PRELIMINARY_ONLY</x:v>
      </x:c>
      <x:c r="AH50" s="24" t="str">
        <x:v>Visual review of user-uploaded drawing; exact scene orientation may depend on how the paper is rotated.</x:v>
      </x:c>
      <x:c r="AI50" s="24" t="str">
        <x:v>train</x:v>
      </x:c>
      <x:c r="AJ50" s="24"/>
      <x:c r="AK50" s="24"/>
      <x:c r="AL50" s="24"/>
      <x:c r="AM50" s="24"/>
      <x:c r="AN50" s="24"/>
      <x:c r="AO50" s="24" t="str">
        <x:v>descriptive_only_needs_human_scoring</x:v>
      </x:c>
      <x:c r="AP50" s="24" t="str">
        <x:f>IF(COUNT(AJ50:AM50)=4,"FINAL HUMAN-LABEL READY","PROTOTYPE ONLY - HUMAN VALIDATION REQUIRED")</x:f>
        <x:v>PROTOTYPE ONLY - HUMAN VALIDATION REQUIRED</x:v>
      </x:c>
    </x:row>
    <x:row r="51" ht="34" customHeight="1">
      <x:c r="A51" s="24" t="str">
        <x:v>S050</x:v>
      </x:c>
      <x:c r="B51" s="24" t="str">
        <x:v>PC01</x:v>
      </x:c>
      <x:c r="C51" s="24" t="str">
        <x:v>S050_PC01.jpeg</x:v>
      </x:c>
      <x:c r="D51" s="24" t="str">
        <x:v>images/picture_completion/S050_PC01.jpeg</x:v>
      </x:c>
      <x:c r="E51" s="24" t="str">
        <x:v>S050_PC01.jpeg</x:v>
      </x:c>
      <x:c r="F51" s="24" t="n">
        <x:v>1280</x:v>
      </x:c>
      <x:c r="G51" s="24" t="n">
        <x:v>960</x:v>
      </x:c>
      <x:c r="H51" s="25" t="n">
        <x:f>IF(G51=0,"",F51/G51)</x:f>
        <x:v>1.3333333333333333</x:v>
      </x:c>
      <x:c r="I51" s="24" t="str">
        <x:v>landscape</x:v>
      </x:c>
      <x:c r="J51" s="26" t="n">
        <x:v>44.1</x:v>
      </x:c>
      <x:c r="K51" s="24" t="str">
        <x:v>Small fruit/plant-like objects inside circle</x:v>
      </x:c>
      <x:c r="L51" s="24" t="str">
        <x:v>red; green; black/gray</x:v>
      </x:c>
      <x:c r="M51" s="24" t="str">
        <x:v>red; green</x:v>
      </x:c>
      <x:c r="N51" s="24" t="n">
        <x:v>3</x:v>
      </x:c>
      <x:c r="O51" s="24" t="str">
        <x:v>Circle contains several small red and green organic-looking shapes connected by curved lines; exact objects are uncertain</x:v>
      </x:c>
      <x:c r="P51" s="24" t="str">
        <x:v>small-object/plant composition</x:v>
      </x:c>
      <x:c r="Q51" s="24" t="str">
        <x:v>multiple small colored forms and connecting lines</x:v>
      </x:c>
      <x:c r="R51" s="24" t="str">
        <x:v>Several small related elements</x:v>
      </x:c>
      <x:c r="S51" s="24" t="str">
        <x:v>Somewhat distinctive because it avoids the common face/sun category, but the intended subject is unclear</x:v>
      </x:c>
      <x:c r="T51" s="24" t="str">
        <x:v>Red and green are the main colors</x:v>
      </x:c>
      <x:c r="U51" s="24" t="str">
        <x:v>Ask the child to name each object and explain how they are connected before final creativity scoring</x:v>
      </x:c>
      <x:c r="V51" s="24"/>
      <x:c r="W51" s="24"/>
      <x:c r="X51" s="24" t="str">
        <x:v>unassigned</x:v>
      </x:c>
      <x:c r="Y51" s="24" t="n">
        <x:v>4</x:v>
      </x:c>
      <x:c r="Z51" s="24" t="n">
        <x:v>3</x:v>
      </x:c>
      <x:c r="AA51" s="24" t="n">
        <x:v>4</x:v>
      </x:c>
      <x:c r="AB51" s="24" t="n">
        <x:v>3</x:v>
      </x:c>
      <x:c r="AC51" s="24" t="n">
        <x:f>SUM(Y51:AB51)</x:f>
        <x:v>14</x:v>
      </x:c>
      <x:c r="AD51" s="25" t="n">
        <x:f>AVERAGE(Y51:AB51)</x:f>
        <x:v>3.5</x:v>
      </x:c>
      <x:c r="AE51" s="24" t="str">
        <x:f>IF(AD51&gt;=4.5,"Very High",IF(AD51&gt;=3.5,"High",IF(AD51&gt;=2.5,"Moderate",IF(AD51&gt;=1.5,"Developing","Low"))))</x:f>
        <x:v>High</x:v>
      </x:c>
      <x:c r="AF51" s="24" t="str">
        <x:v>The response appears to combine multiple related forms and is less conventional than a face/sun, but interpretation uncertainty limits confidence.</x:v>
      </x:c>
      <x:c r="AG51" s="24" t="str">
        <x:v>PRELIMINARY_ONLY</x:v>
      </x:c>
      <x:c r="AH51" s="24" t="str">
        <x:v>Visual review of user-uploaded drawing; subject is ambiguous and should be confirmed by child/teacher.</x:v>
      </x:c>
      <x:c r="AI51" s="24" t="str">
        <x:v>train</x:v>
      </x:c>
      <x:c r="AJ51" s="24"/>
      <x:c r="AK51" s="24"/>
      <x:c r="AL51" s="24"/>
      <x:c r="AM51" s="24"/>
      <x:c r="AN51" s="24"/>
      <x:c r="AO51" s="24" t="str">
        <x:v>descriptive_only_needs_human_scoring</x:v>
      </x:c>
      <x:c r="AP51" s="24" t="str">
        <x:f>IF(COUNT(AJ51:AM51)=4,"FINAL HUMAN-LABEL READY","PROTOTYPE ONLY - HUMAN VALIDATION REQUIRED")</x:f>
        <x:v>PROTOTYPE ONLY - HUMAN VALIDATION REQUIRED</x:v>
      </x:c>
    </x:row>
    <x:row r="52" ht="34" customHeight="1">
      <x:c r="A52" s="24" t="str">
        <x:v>S051</x:v>
      </x:c>
      <x:c r="B52" s="24" t="str">
        <x:v>PC01</x:v>
      </x:c>
      <x:c r="C52" s="24" t="str">
        <x:v>S051_PC01.jpeg</x:v>
      </x:c>
      <x:c r="D52" s="24" t="str">
        <x:v>images/picture_completion/S051_PC01.jpeg</x:v>
      </x:c>
      <x:c r="E52" s="24" t="str">
        <x:v>S051_PC01.jpeg</x:v>
      </x:c>
      <x:c r="F52" s="24" t="n">
        <x:v>1280</x:v>
      </x:c>
      <x:c r="G52" s="24" t="n">
        <x:v>960</x:v>
      </x:c>
      <x:c r="H52" s="25" t="n">
        <x:f>IF(G52=0,"",F52/G52)</x:f>
        <x:v>1.3333333333333333</x:v>
      </x:c>
      <x:c r="I52" s="24" t="str">
        <x:v>landscape</x:v>
      </x:c>
      <x:c r="J52" s="26" t="n">
        <x:v>61.4</x:v>
      </x:c>
      <x:c r="K52" s="24" t="str">
        <x:v>Purple circular object with handle/tab</x:v>
      </x:c>
      <x:c r="L52" s="24" t="str">
        <x:v>purple; pink; black</x:v>
      </x:c>
      <x:c r="M52" s="24" t="str">
        <x:v>purple</x:v>
      </x:c>
      <x:c r="N52" s="24" t="n">
        <x:v>3</x:v>
      </x:c>
      <x:c r="O52" s="24" t="str">
        <x:v>Circle heavily filled purple with a small pink rectangular extension on one side; internal subject details are not clearly visible</x:v>
      </x:c>
      <x:c r="P52" s="24" t="str">
        <x:v>object transformation</x:v>
      </x:c>
      <x:c r="Q52" s="24" t="str">
        <x:v>solid fill, side extension/tab, strong color coverage</x:v>
      </x:c>
      <x:c r="R52" s="24" t="str">
        <x:v>One main idea</x:v>
      </x:c>
      <x:c r="S52" s="24" t="str">
        <x:v>Distinctive because it avoids the common face/sun response, but the intended object is unclear</x:v>
      </x:c>
      <x:c r="T52" s="24" t="str">
        <x:v>Purple-dominant with small pink extension</x:v>
      </x:c>
      <x:c r="U52" s="24" t="str">
        <x:v>Ask the child what the object represents and encourage adding functional details, labels, or a setting</x:v>
      </x:c>
      <x:c r="V52" s="24"/>
      <x:c r="W52" s="24"/>
      <x:c r="X52" s="24" t="str">
        <x:v>unassigned</x:v>
      </x:c>
      <x:c r="Y52" s="24" t="n">
        <x:v>4</x:v>
      </x:c>
      <x:c r="Z52" s="24" t="n">
        <x:v>2</x:v>
      </x:c>
      <x:c r="AA52" s="24" t="n">
        <x:v>3</x:v>
      </x:c>
      <x:c r="AB52" s="24" t="n">
        <x:v>2</x:v>
      </x:c>
      <x:c r="AC52" s="24" t="n">
        <x:f>SUM(Y52:AB52)</x:f>
        <x:v>11</x:v>
      </x:c>
      <x:c r="AD52" s="25" t="n">
        <x:f>AVERAGE(Y52:AB52)</x:f>
        <x:v>2.75</x:v>
      </x:c>
      <x:c r="AE52" s="24" t="str">
        <x:f>IF(AD52&gt;=4.5,"Very High",IF(AD52&gt;=3.5,"High",IF(AD52&gt;=2.5,"Moderate",IF(AD52&gt;=1.5,"Developing","Low"))))</x:f>
        <x:v>Moderate</x:v>
      </x:c>
      <x:c r="AF52" s="24" t="str">
        <x:v>The transformation is unusual within the sample, but limited visible detail reduces elaboration and interpretive certainty.</x:v>
      </x:c>
      <x:c r="AG52" s="24" t="str">
        <x:v>PRELIMINARY_ONLY</x:v>
      </x:c>
      <x:c r="AH52" s="24" t="str">
        <x:v>Visual review of user-uploaded drawing; exact object identity is uncertain and should be confirmed with the child.</x:v>
      </x:c>
      <x:c r="AI52" s="24" t="str">
        <x:v>train</x:v>
      </x:c>
      <x:c r="AJ52" s="24"/>
      <x:c r="AK52" s="24"/>
      <x:c r="AL52" s="24"/>
      <x:c r="AM52" s="24"/>
      <x:c r="AN52" s="24"/>
      <x:c r="AO52" s="24" t="str">
        <x:v>descriptive_only_needs_human_scoring</x:v>
      </x:c>
      <x:c r="AP52" s="24" t="str">
        <x:f>IF(COUNT(AJ52:AM52)=4,"FINAL HUMAN-LABEL READY","PROTOTYPE ONLY - HUMAN VALIDATION REQUIRED")</x:f>
        <x:v>PROTOTYPE ONLY - HUMAN VALIDATION REQUIRED</x:v>
      </x:c>
    </x:row>
    <x:row r="53" ht="34" customHeight="1">
      <x:c r="A53" s="24" t="str">
        <x:v>S052</x:v>
      </x:c>
      <x:c r="B53" s="24" t="str">
        <x:v>PC01</x:v>
      </x:c>
      <x:c r="C53" s="24" t="str">
        <x:v>S052_PC01.jpeg</x:v>
      </x:c>
      <x:c r="D53" s="24" t="str">
        <x:v>images/picture_completion/S052_PC01.jpeg</x:v>
      </x:c>
      <x:c r="E53" s="24" t="str">
        <x:v>S052_PC01.jpeg</x:v>
      </x:c>
      <x:c r="F53" s="24" t="n">
        <x:v>1280</x:v>
      </x:c>
      <x:c r="G53" s="24" t="n">
        <x:v>960</x:v>
      </x:c>
      <x:c r="H53" s="25" t="n">
        <x:f>IF(G53=0,"",F53/G53)</x:f>
        <x:v>1.3333333333333333</x:v>
      </x:c>
      <x:c r="I53" s="24" t="str">
        <x:v>landscape</x:v>
      </x:c>
      <x:c r="J53" s="26" t="n">
        <x:v>42.3</x:v>
      </x:c>
      <x:c r="K53" s="24" t="str">
        <x:v>Small blue human/character with sun</x:v>
      </x:c>
      <x:c r="L53" s="24" t="str">
        <x:v>blue; yellow; black/gray</x:v>
      </x:c>
      <x:c r="M53" s="24" t="str">
        <x:v>blue; yellow</x:v>
      </x:c>
      <x:c r="N53" s="24" t="n">
        <x:v>3</x:v>
      </x:c>
      <x:c r="O53" s="24" t="str">
        <x:v>Inside the circle is a small upright blue figure with head/body and stick-like limbs; a small yellow sun appears nearby</x:v>
      </x:c>
      <x:c r="P53" s="24" t="str">
        <x:v>character scene transformation</x:v>
      </x:c>
      <x:c r="Q53" s="24" t="str">
        <x:v>figure, limbs, head/body, small sun</x:v>
      </x:c>
      <x:c r="R53" s="24" t="str">
        <x:v>Two related visual elements</x:v>
      </x:c>
      <x:c r="S53" s="24" t="str">
        <x:v>Distinctive because the circle contains a small character scene rather than a large face/sun filling the whole shape</x:v>
      </x:c>
      <x:c r="T53" s="24" t="str">
        <x:v>Blue figure with yellow sun accent</x:v>
      </x:c>
      <x:c r="U53" s="24" t="str">
        <x:v>Ask the child who the character is, what they are doing, and add a background or another object</x:v>
      </x:c>
      <x:c r="V53" s="24"/>
      <x:c r="W53" s="24"/>
      <x:c r="X53" s="24" t="str">
        <x:v>unassigned</x:v>
      </x:c>
      <x:c r="Y53" s="24" t="n">
        <x:v>4</x:v>
      </x:c>
      <x:c r="Z53" s="24" t="n">
        <x:v>3</x:v>
      </x:c>
      <x:c r="AA53" s="24" t="n">
        <x:v>4</x:v>
      </x:c>
      <x:c r="AB53" s="24" t="n">
        <x:v>3</x:v>
      </x:c>
      <x:c r="AC53" s="24" t="n">
        <x:f>SUM(Y53:AB53)</x:f>
        <x:v>14</x:v>
      </x:c>
      <x:c r="AD53" s="25" t="n">
        <x:f>AVERAGE(Y53:AB53)</x:f>
        <x:v>3.5</x:v>
      </x:c>
      <x:c r="AE53" s="24" t="str">
        <x:f>IF(AD53&gt;=4.5,"Very High",IF(AD53&gt;=3.5,"High",IF(AD53&gt;=2.5,"Moderate",IF(AD53&gt;=1.5,"Developing","Low"))))</x:f>
        <x:v>High</x:v>
      </x:c>
      <x:c r="AF53" s="24" t="str">
        <x:v>Uncommon scene composition with a separate character and sun; moderate detail and imaginative context.</x:v>
      </x:c>
      <x:c r="AG53" s="24" t="str">
        <x:v>PRELIMINARY_ONLY</x:v>
      </x:c>
      <x:c r="AH53" s="24" t="str">
        <x:v>Visual review of user-uploaded drawing; character identity should be confirmed with the child.</x:v>
      </x:c>
      <x:c r="AI53" s="24" t="str">
        <x:v>train</x:v>
      </x:c>
      <x:c r="AJ53" s="24"/>
      <x:c r="AK53" s="24"/>
      <x:c r="AL53" s="24"/>
      <x:c r="AM53" s="24"/>
      <x:c r="AN53" s="24"/>
      <x:c r="AO53" s="24" t="str">
        <x:v>descriptive_only_needs_human_scoring</x:v>
      </x:c>
      <x:c r="AP53" s="24" t="str">
        <x:f>IF(COUNT(AJ53:AM53)=4,"FINAL HUMAN-LABEL READY","PROTOTYPE ONLY - HUMAN VALIDATION REQUIRED")</x:f>
        <x:v>PROTOTYPE ONLY - HUMAN VALIDATION REQUIRED</x:v>
      </x:c>
    </x:row>
    <x:row r="54" ht="34" customHeight="1">
      <x:c r="A54" s="24" t="str">
        <x:v>S053</x:v>
      </x:c>
      <x:c r="B54" s="24" t="str">
        <x:v>PC01</x:v>
      </x:c>
      <x:c r="C54" s="24" t="str">
        <x:v>S053_PC01.jpeg</x:v>
      </x:c>
      <x:c r="D54" s="24" t="str">
        <x:v>images/picture_completion/S053_PC01.jpeg</x:v>
      </x:c>
      <x:c r="E54" s="24" t="str">
        <x:v>S053_PC01.jpeg</x:v>
      </x:c>
      <x:c r="F54" s="24" t="n">
        <x:v>960</x:v>
      </x:c>
      <x:c r="G54" s="24" t="n">
        <x:v>1280</x:v>
      </x:c>
      <x:c r="H54" s="25" t="n">
        <x:f>IF(G54=0,"",F54/G54)</x:f>
        <x:v>0.75</x:v>
      </x:c>
      <x:c r="I54" s="24" t="str">
        <x:v>portrait</x:v>
      </x:c>
      <x:c r="J54" s="26" t="n">
        <x:v>48.8</x:v>
      </x:c>
      <x:c r="K54" s="24" t="str">
        <x:v>Green bus/vehicle scene</x:v>
      </x:c>
      <x:c r="L54" s="24" t="str">
        <x:v>green; blue; orange; purple; black/gray</x:v>
      </x:c>
      <x:c r="M54" s="24" t="str">
        <x:v>green; blue</x:v>
      </x:c>
      <x:c r="N54" s="24" t="n">
        <x:v>5</x:v>
      </x:c>
      <x:c r="O54" s="24" t="str">
        <x:v>Circle contains a green bus/vehicle with windows and wheels; blue cloud-like forms and an orange sun-like shape appear nearby</x:v>
      </x:c>
      <x:c r="P54" s="24" t="str">
        <x:v>vehicle scene transformation</x:v>
      </x:c>
      <x:c r="Q54" s="24" t="str">
        <x:v>vehicle body, windows, wheels, sky/cloud elements and sun</x:v>
      </x:c>
      <x:c r="R54" s="24" t="str">
        <x:v>Multiple coordinated idea elements</x:v>
      </x:c>
      <x:c r="S54" s="24" t="str">
        <x:v>Highly distinctive because the child uses the circle as a scene containing a vehicle rather than a face or sun</x:v>
      </x:c>
      <x:c r="T54" s="24" t="str">
        <x:v>Green vehicle with blue and orange environmental details</x:v>
      </x:c>
      <x:c r="U54" s="24" t="str">
        <x:v>Ask the child where the bus is going and add passengers, road signs, buildings or destination details</x:v>
      </x:c>
      <x:c r="V54" s="24"/>
      <x:c r="W54" s="24"/>
      <x:c r="X54" s="24" t="str">
        <x:v>unassigned</x:v>
      </x:c>
      <x:c r="Y54" s="24" t="n">
        <x:v>5</x:v>
      </x:c>
      <x:c r="Z54" s="24" t="n">
        <x:v>4</x:v>
      </x:c>
      <x:c r="AA54" s="24" t="n">
        <x:v>5</x:v>
      </x:c>
      <x:c r="AB54" s="24" t="n">
        <x:v>4</x:v>
      </x:c>
      <x:c r="AC54" s="24" t="n">
        <x:f>SUM(Y54:AB54)</x:f>
        <x:v>18</x:v>
      </x:c>
      <x:c r="AD54" s="25" t="n">
        <x:f>AVERAGE(Y54:AB54)</x:f>
        <x:v>4.5</x:v>
      </x:c>
      <x:c r="AE54" s="24" t="str">
        <x:f>IF(AD54&gt;=4.5,"Very High",IF(AD54&gt;=3.5,"High",IF(AD54&gt;=2.5,"Moderate",IF(AD54&gt;=1.5,"Developing","Low"))))</x:f>
        <x:v>Very High</x:v>
      </x:c>
      <x:c r="AF54" s="24" t="str">
        <x:v>Strong originality and imagination due to the vehicle-scene interpretation and several contextual elements.</x:v>
      </x:c>
      <x:c r="AG54" s="24" t="str">
        <x:v>PRELIMINARY_ONLY</x:v>
      </x:c>
      <x:c r="AH54" s="24" t="str">
        <x:v>Visual review of user-uploaded drawing; creativity scores are preliminary only.</x:v>
      </x:c>
      <x:c r="AI54" s="24" t="str">
        <x:v>train</x:v>
      </x:c>
      <x:c r="AJ54" s="24"/>
      <x:c r="AK54" s="24"/>
      <x:c r="AL54" s="24"/>
      <x:c r="AM54" s="24"/>
      <x:c r="AN54" s="24"/>
      <x:c r="AO54" s="24" t="str">
        <x:v>descriptive_only_needs_human_scoring</x:v>
      </x:c>
      <x:c r="AP54" s="24" t="str">
        <x:f>IF(COUNT(AJ54:AM54)=4,"FINAL HUMAN-LABEL READY","PROTOTYPE ONLY - HUMAN VALIDATION REQUIRED")</x:f>
        <x:v>PROTOTYPE ONLY - HUMAN VALIDATION REQUIRED</x:v>
      </x:c>
    </x:row>
    <x:row r="55" ht="34" customHeight="1">
      <x:c r="A55" s="24" t="str">
        <x:v>S054</x:v>
      </x:c>
      <x:c r="B55" s="24" t="str">
        <x:v>PC01</x:v>
      </x:c>
      <x:c r="C55" s="24" t="str">
        <x:v>S054_PC01.jpeg</x:v>
      </x:c>
      <x:c r="D55" s="24" t="str">
        <x:v>images/picture_completion/S054_PC01.jpeg</x:v>
      </x:c>
      <x:c r="E55" s="24" t="str">
        <x:v>S054_PC01.jpeg</x:v>
      </x:c>
      <x:c r="F55" s="24" t="n">
        <x:v>960</x:v>
      </x:c>
      <x:c r="G55" s="24" t="n">
        <x:v>1280</x:v>
      </x:c>
      <x:c r="H55" s="25" t="n">
        <x:f>IF(G55=0,"",F55/G55)</x:f>
        <x:v>0.75</x:v>
      </x:c>
      <x:c r="I55" s="24" t="str">
        <x:v>portrait</x:v>
      </x:c>
      <x:c r="J55" s="26" t="n">
        <x:v>45.4</x:v>
      </x:c>
      <x:c r="K55" s="24" t="str">
        <x:v>Family/people and buildings or rockets scene</x:v>
      </x:c>
      <x:c r="L55" s="24" t="str">
        <x:v>purple; brown; yellow; black/gray</x:v>
      </x:c>
      <x:c r="M55" s="24" t="str">
        <x:v>purple; brown</x:v>
      </x:c>
      <x:c r="N55" s="24" t="n">
        <x:v>4</x:v>
      </x:c>
      <x:c r="O55" s="24" t="str">
        <x:v>Circle contains two person-like figures and three tall purple-brown vertical forms; a small yellow sun appears at one side</x:v>
      </x:c>
      <x:c r="P55" s="24" t="str">
        <x:v>multi-object scene transformation</x:v>
      </x:c>
      <x:c r="Q55" s="24" t="str">
        <x:v>two figures, three tall objects, small sun and grouped composition</x:v>
      </x:c>
      <x:c r="R55" s="24" t="str">
        <x:v>Multiple coordinated idea elements</x:v>
      </x:c>
      <x:c r="S55" s="24" t="str">
        <x:v>Distinctive multi-object response, though exact meaning of the tall forms is unclear</x:v>
      </x:c>
      <x:c r="T55" s="24" t="str">
        <x:v>Purple and brown dominate with yellow accent</x:v>
      </x:c>
      <x:c r="U55" s="24" t="str">
        <x:v>Ask the child to explain who the figures are and what the tall objects represent before final scoring</x:v>
      </x:c>
      <x:c r="V55" s="24"/>
      <x:c r="W55" s="24"/>
      <x:c r="X55" s="24" t="str">
        <x:v>unassigned</x:v>
      </x:c>
      <x:c r="Y55" s="24" t="n">
        <x:v>5</x:v>
      </x:c>
      <x:c r="Z55" s="24" t="n">
        <x:v>4</x:v>
      </x:c>
      <x:c r="AA55" s="24" t="n">
        <x:v>5</x:v>
      </x:c>
      <x:c r="AB55" s="24" t="n">
        <x:v>4</x:v>
      </x:c>
      <x:c r="AC55" s="24" t="n">
        <x:f>SUM(Y55:AB55)</x:f>
        <x:v>18</x:v>
      </x:c>
      <x:c r="AD55" s="25" t="n">
        <x:f>AVERAGE(Y55:AB55)</x:f>
        <x:v>4.5</x:v>
      </x:c>
      <x:c r="AE55" s="24" t="str">
        <x:f>IF(AD55&gt;=4.5,"Very High",IF(AD55&gt;=3.5,"High",IF(AD55&gt;=2.5,"Moderate",IF(AD55&gt;=1.5,"Developing","Low"))))</x:f>
        <x:v>Very High</x:v>
      </x:c>
      <x:c r="AF55" s="24" t="str">
        <x:v>The response combines several different elements and appears story-oriented, supporting high preliminary originality and imagination.</x:v>
      </x:c>
      <x:c r="AG55" s="24" t="str">
        <x:v>PRELIMINARY_ONLY</x:v>
      </x:c>
      <x:c r="AH55" s="24" t="str">
        <x:v>Visual review of user-uploaded drawing; exact subject of the vertical objects is ambiguous and should be confirmed.</x:v>
      </x:c>
      <x:c r="AI55" s="24" t="str">
        <x:v>validation</x:v>
      </x:c>
      <x:c r="AJ55" s="24"/>
      <x:c r="AK55" s="24"/>
      <x:c r="AL55" s="24"/>
      <x:c r="AM55" s="24"/>
      <x:c r="AN55" s="24"/>
      <x:c r="AO55" s="24" t="str">
        <x:v>descriptive_only_needs_human_scoring</x:v>
      </x:c>
      <x:c r="AP55" s="24" t="str">
        <x:f>IF(COUNT(AJ55:AM55)=4,"FINAL HUMAN-LABEL READY","PROTOTYPE ONLY - HUMAN VALIDATION REQUIRED")</x:f>
        <x:v>PROTOTYPE ONLY - HUMAN VALIDATION REQUIRED</x:v>
      </x:c>
    </x:row>
    <x:row r="56" ht="34" customHeight="1">
      <x:c r="A56" s="24" t="str">
        <x:v>S055</x:v>
      </x:c>
      <x:c r="B56" s="24" t="str">
        <x:v>PC01</x:v>
      </x:c>
      <x:c r="C56" s="24" t="str">
        <x:v>S055_PC01.jpeg</x:v>
      </x:c>
      <x:c r="D56" s="24" t="str">
        <x:v>images/picture_completion/S055_PC01.jpeg</x:v>
      </x:c>
      <x:c r="E56" s="24" t="str">
        <x:v>S055_PC01.jpeg</x:v>
      </x:c>
      <x:c r="F56" s="24" t="n">
        <x:v>1280</x:v>
      </x:c>
      <x:c r="G56" s="24" t="n">
        <x:v>960</x:v>
      </x:c>
      <x:c r="H56" s="25" t="n">
        <x:f>IF(G56=0,"",F56/G56)</x:f>
        <x:v>1.3333333333333333</x:v>
      </x:c>
      <x:c r="I56" s="24" t="str">
        <x:v>landscape</x:v>
      </x:c>
      <x:c r="J56" s="26" t="n">
        <x:v>45.1</x:v>
      </x:c>
      <x:c r="K56" s="24" t="str">
        <x:v>Vehicle with surrounding objects/scene</x:v>
      </x:c>
      <x:c r="L56" s="24" t="str">
        <x:v>orange/brown; black/gray</x:v>
      </x:c>
      <x:c r="M56" s="24" t="str">
        <x:v>orange/brown</x:v>
      </x:c>
      <x:c r="N56" s="24" t="n">
        <x:v>2</x:v>
      </x:c>
      <x:c r="O56" s="24" t="str">
        <x:v>Circle contains an orange/brown vehicle-like form with wheels and additional small sketched objects above and around it</x:v>
      </x:c>
      <x:c r="P56" s="24" t="str">
        <x:v>vehicle scene transformation</x:v>
      </x:c>
      <x:c r="Q56" s="24" t="str">
        <x:v>vehicle body, wheels, upper object/details and surrounding sketch marks</x:v>
      </x:c>
      <x:c r="R56" s="24" t="str">
        <x:v>Multiple related elements</x:v>
      </x:c>
      <x:c r="S56" s="24" t="str">
        <x:v>Distinctive because a vehicle is created inside the circle, although some surrounding objects are unclear</x:v>
      </x:c>
      <x:c r="T56" s="24" t="str">
        <x:v>Mostly orange/brown with dark outlines</x:v>
      </x:c>
      <x:c r="U56" s="24" t="str">
        <x:v>Ask the child what the vehicle is carrying or doing and encourage adding a road, destination or passengers</x:v>
      </x:c>
      <x:c r="V56" s="24"/>
      <x:c r="W56" s="24"/>
      <x:c r="X56" s="24" t="str">
        <x:v>unassigned</x:v>
      </x:c>
      <x:c r="Y56" s="24" t="n">
        <x:v>4</x:v>
      </x:c>
      <x:c r="Z56" s="24" t="n">
        <x:v>4</x:v>
      </x:c>
      <x:c r="AA56" s="24" t="n">
        <x:v>4</x:v>
      </x:c>
      <x:c r="AB56" s="24" t="n">
        <x:v>3</x:v>
      </x:c>
      <x:c r="AC56" s="24" t="n">
        <x:f>SUM(Y56:AB56)</x:f>
        <x:v>15</x:v>
      </x:c>
      <x:c r="AD56" s="25" t="n">
        <x:f>AVERAGE(Y56:AB56)</x:f>
        <x:v>3.75</x:v>
      </x:c>
      <x:c r="AE56" s="24" t="str">
        <x:f>IF(AD56&gt;=4.5,"Very High",IF(AD56&gt;=3.5,"High",IF(AD56&gt;=2.5,"Moderate",IF(AD56&gt;=1.5,"Developing","Low"))))</x:f>
        <x:v>High</x:v>
      </x:c>
      <x:c r="AF56" s="24" t="str">
        <x:v>Clear non-face transformation with several structural details; scene meaning needs child explanation.</x:v>
      </x:c>
      <x:c r="AG56" s="24" t="str">
        <x:v>PRELIMINARY_ONLY</x:v>
      </x:c>
      <x:c r="AH56" s="24" t="str">
        <x:v>Visual review of user-uploaded drawing; exact interpretation of surrounding marks is uncertain.</x:v>
      </x:c>
      <x:c r="AI56" s="24" t="str">
        <x:v>test</x:v>
      </x:c>
      <x:c r="AJ56" s="24"/>
      <x:c r="AK56" s="24"/>
      <x:c r="AL56" s="24"/>
      <x:c r="AM56" s="24"/>
      <x:c r="AN56" s="24"/>
      <x:c r="AO56" s="24" t="str">
        <x:v>descriptive_only_needs_human_scoring</x:v>
      </x:c>
      <x:c r="AP56" s="24" t="str">
        <x:f>IF(COUNT(AJ56:AM56)=4,"FINAL HUMAN-LABEL READY","PROTOTYPE ONLY - HUMAN VALIDATION REQUIRED")</x:f>
        <x:v>PROTOTYPE ONLY - HUMAN VALIDATION REQUIRED</x:v>
      </x:c>
    </x:row>
    <x:row r="57" ht="34" customHeight="1">
      <x:c r="A57" s="24" t="str">
        <x:v>S056</x:v>
      </x:c>
      <x:c r="B57" s="24" t="str">
        <x:v>PC01</x:v>
      </x:c>
      <x:c r="C57" s="24" t="str">
        <x:v>S056_PC01.jpeg</x:v>
      </x:c>
      <x:c r="D57" s="24" t="str">
        <x:v>images/picture_completion/S056_PC01.jpeg</x:v>
      </x:c>
      <x:c r="E57" s="24" t="str">
        <x:v>S056_PC01.jpeg</x:v>
      </x:c>
      <x:c r="F57" s="24" t="n">
        <x:v>960</x:v>
      </x:c>
      <x:c r="G57" s="24" t="n">
        <x:v>1280</x:v>
      </x:c>
      <x:c r="H57" s="25" t="n">
        <x:f>IF(G57=0,"",F57/G57)</x:f>
        <x:v>0.75</x:v>
      </x:c>
      <x:c r="I57" s="24" t="str">
        <x:v>portrait</x:v>
      </x:c>
      <x:c r="J57" s="26" t="n">
        <x:v>103.5</x:v>
      </x:c>
      <x:c r="K57" s="24" t="str">
        <x:v>Orange sun/face in full colored background</x:v>
      </x:c>
      <x:c r="L57" s="24" t="str">
        <x:v>orange; pink; red; black/gray</x:v>
      </x:c>
      <x:c r="M57" s="24" t="str">
        <x:v>pink; red; orange</x:v>
      </x:c>
      <x:c r="N57" s="24" t="n">
        <x:v>4</x:v>
      </x:c>
      <x:c r="O57" s="24" t="str">
        <x:v>Circle becomes an orange face/sun with segmented surrounding rays; most of the page is filled with pink/red background color</x:v>
      </x:c>
      <x:c r="P57" s="24" t="str">
        <x:v>sun-face scene transformation</x:v>
      </x:c>
      <x:c r="Q57" s="24" t="str">
        <x:v>facial features, segmented rays, extensive full-page background coloring</x:v>
      </x:c>
      <x:c r="R57" s="24" t="str">
        <x:v>One main idea with environmental treatment</x:v>
      </x:c>
      <x:c r="S57" s="24" t="str">
        <x:v>Sun/face is common, but the full-page colored composition is more elaborate than basic sun responses</x:v>
      </x:c>
      <x:c r="T57" s="24" t="str">
        <x:v>Orange center with strong pink-red background</x:v>
      </x:c>
      <x:c r="U57" s="24" t="str">
        <x:v>Ask the child to add clouds, weather, objects or a story event to make the scene more specific</x:v>
      </x:c>
      <x:c r="V57" s="24"/>
      <x:c r="W57" s="24"/>
      <x:c r="X57" s="24" t="str">
        <x:v>unassigned</x:v>
      </x:c>
      <x:c r="Y57" s="24" t="n">
        <x:v>3</x:v>
      </x:c>
      <x:c r="Z57" s="24" t="n">
        <x:v>5</x:v>
      </x:c>
      <x:c r="AA57" s="24" t="n">
        <x:v>4</x:v>
      </x:c>
      <x:c r="AB57" s="24" t="n">
        <x:v>3</x:v>
      </x:c>
      <x:c r="AC57" s="24" t="n">
        <x:f>SUM(Y57:AB57)</x:f>
        <x:v>15</x:v>
      </x:c>
      <x:c r="AD57" s="25" t="n">
        <x:f>AVERAGE(Y57:AB57)</x:f>
        <x:v>3.75</x:v>
      </x:c>
      <x:c r="AE57" s="24" t="str">
        <x:f>IF(AD57&gt;=4.5,"Very High",IF(AD57&gt;=3.5,"High",IF(AD57&gt;=2.5,"Moderate",IF(AD57&gt;=1.5,"Developing","Low"))))</x:f>
        <x:v>High</x:v>
      </x:c>
      <x:c r="AF57" s="24" t="str">
        <x:v>Originality is moderate because the core sun/face theme is common, while elaboration is strong due to the full-page composition.</x:v>
      </x:c>
      <x:c r="AG57" s="24" t="str">
        <x:v>PRELIMINARY_ONLY</x:v>
      </x:c>
      <x:c r="AH57" s="24" t="str">
        <x:v>Visual review of user-uploaded drawing; creativity scores are preliminary only.</x:v>
      </x:c>
      <x:c r="AI57" s="24" t="str">
        <x:v>train</x:v>
      </x:c>
      <x:c r="AJ57" s="24"/>
      <x:c r="AK57" s="24"/>
      <x:c r="AL57" s="24"/>
      <x:c r="AM57" s="24"/>
      <x:c r="AN57" s="24"/>
      <x:c r="AO57" s="24" t="str">
        <x:v>descriptive_only_needs_human_scoring</x:v>
      </x:c>
      <x:c r="AP57" s="24" t="str">
        <x:f>IF(COUNT(AJ57:AM57)=4,"FINAL HUMAN-LABEL READY","PROTOTYPE ONLY - HUMAN VALIDATION REQUIRED")</x:f>
        <x:v>PROTOTYPE ONLY - HUMAN VALIDATION REQUIRED</x:v>
      </x:c>
    </x:row>
    <x:row r="58" ht="34" customHeight="1">
      <x:c r="A58" s="24" t="str">
        <x:v>S057</x:v>
      </x:c>
      <x:c r="B58" s="24" t="str">
        <x:v>PC01</x:v>
      </x:c>
      <x:c r="C58" s="24" t="str">
        <x:v>S057_PC01.jpeg</x:v>
      </x:c>
      <x:c r="D58" s="24" t="str">
        <x:v>images/picture_completion/S057_PC01.jpeg</x:v>
      </x:c>
      <x:c r="E58" s="24" t="str">
        <x:v>S057_PC01.jpeg</x:v>
      </x:c>
      <x:c r="F58" s="24" t="n">
        <x:v>960</x:v>
      </x:c>
      <x:c r="G58" s="24" t="n">
        <x:v>1280</x:v>
      </x:c>
      <x:c r="H58" s="25" t="n">
        <x:f>IF(G58=0,"",F58/G58)</x:f>
        <x:v>0.75</x:v>
      </x:c>
      <x:c r="I58" s="24" t="str">
        <x:v>portrait</x:v>
      </x:c>
      <x:c r="J58" s="26" t="n">
        <x:v>76.3</x:v>
      </x:c>
      <x:c r="K58" s="24" t="str">
        <x:v>Large insect/animal character</x:v>
      </x:c>
      <x:c r="L58" s="24" t="str">
        <x:v>orange; green; pink; black; light orange</x:v>
      </x:c>
      <x:c r="M58" s="24" t="str">
        <x:v>orange; green</x:v>
      </x:c>
      <x:c r="N58" s="24" t="n">
        <x:v>5</x:v>
      </x:c>
      <x:c r="O58" s="24" t="str">
        <x:v>Circle becomes the head of a large insect/animal-like character with large eyes, side appendages/legs and a striped orange-green body above it</x:v>
      </x:c>
      <x:c r="P58" s="24" t="str">
        <x:v>animal/character transformation</x:v>
      </x:c>
      <x:c r="Q58" s="24" t="str">
        <x:v>large eyes, body segments, side appendages, patterned body and color contrast</x:v>
      </x:c>
      <x:c r="R58" s="24" t="str">
        <x:v>One main idea with many coordinated body parts</x:v>
      </x:c>
      <x:c r="S58" s="24" t="str">
        <x:v>Highly distinctive because the circle forms part of a large complete creature</x:v>
      </x:c>
      <x:c r="T58" s="24" t="str">
        <x:v>Orange-green body with pink and black details</x:v>
      </x:c>
      <x:c r="U58" s="24" t="str">
        <x:v>Ask the child to name the creature, explain where it lives and design another creature with different body parts</x:v>
      </x:c>
      <x:c r="V58" s="24"/>
      <x:c r="W58" s="24"/>
      <x:c r="X58" s="24" t="str">
        <x:v>unassigned</x:v>
      </x:c>
      <x:c r="Y58" s="24" t="n">
        <x:v>5</x:v>
      </x:c>
      <x:c r="Z58" s="24" t="n">
        <x:v>5</x:v>
      </x:c>
      <x:c r="AA58" s="24" t="n">
        <x:v>5</x:v>
      </x:c>
      <x:c r="AB58" s="24" t="n">
        <x:v>4</x:v>
      </x:c>
      <x:c r="AC58" s="24" t="n">
        <x:f>SUM(Y58:AB58)</x:f>
        <x:v>19</x:v>
      </x:c>
      <x:c r="AD58" s="25" t="n">
        <x:f>AVERAGE(Y58:AB58)</x:f>
        <x:v>4.75</x:v>
      </x:c>
      <x:c r="AE58" s="24" t="str">
        <x:f>IF(AD58&gt;=4.5,"Very High",IF(AD58&gt;=3.5,"High",IF(AD58&gt;=2.5,"Moderate",IF(AD58&gt;=1.5,"Developing","Low"))))</x:f>
        <x:v>Very High</x:v>
      </x:c>
      <x:c r="AF58" s="24" t="str">
        <x:v>Strong transformation and elaboration with a complete creature, patterned body and multiple anatomical details.</x:v>
      </x:c>
      <x:c r="AG58" s="24" t="str">
        <x:v>PRELIMINARY_ONLY</x:v>
      </x:c>
      <x:c r="AH58" s="24" t="str">
        <x:v>Visual review of user-uploaded drawing; exact creature identity should be confirmed with the child.</x:v>
      </x:c>
      <x:c r="AI58" s="24" t="str">
        <x:v>train</x:v>
      </x:c>
      <x:c r="AJ58" s="24"/>
      <x:c r="AK58" s="24"/>
      <x:c r="AL58" s="24"/>
      <x:c r="AM58" s="24"/>
      <x:c r="AN58" s="24"/>
      <x:c r="AO58" s="24" t="str">
        <x:v>descriptive_only_needs_human_scoring</x:v>
      </x:c>
      <x:c r="AP58" s="24" t="str">
        <x:f>IF(COUNT(AJ58:AM58)=4,"FINAL HUMAN-LABEL READY","PROTOTYPE ONLY - HUMAN VALIDATION REQUIRED")</x:f>
        <x:v>PROTOTYPE ONLY - HUMAN VALIDATION REQUIRED</x:v>
      </x:c>
    </x:row>
    <x:row r="59" ht="34" customHeight="1">
      <x:c r="A59" s="24" t="str">
        <x:v>S058</x:v>
      </x:c>
      <x:c r="B59" s="24" t="str">
        <x:v>PC01</x:v>
      </x:c>
      <x:c r="C59" s="24" t="str">
        <x:v>S058_PC01.jpeg</x:v>
      </x:c>
      <x:c r="D59" s="24" t="str">
        <x:v>images/picture_completion/S058_PC01.jpeg</x:v>
      </x:c>
      <x:c r="E59" s="24" t="str">
        <x:v>S058_PC01.jpeg</x:v>
      </x:c>
      <x:c r="F59" s="24" t="n">
        <x:v>960</x:v>
      </x:c>
      <x:c r="G59" s="24" t="n">
        <x:v>1280</x:v>
      </x:c>
      <x:c r="H59" s="25" t="n">
        <x:f>IF(G59=0,"",F59/G59)</x:f>
        <x:v>0.75</x:v>
      </x:c>
      <x:c r="I59" s="24" t="str">
        <x:v>portrait</x:v>
      </x:c>
      <x:c r="J59" s="26" t="n">
        <x:v>56.7</x:v>
      </x:c>
      <x:c r="K59" s="24" t="str">
        <x:v>Yellow character with body and orange thought/speech shape</x:v>
      </x:c>
      <x:c r="L59" s="24" t="str">
        <x:v>yellow; orange; blue; pink; red; black/gray</x:v>
      </x:c>
      <x:c r="M59" s="24" t="str">
        <x:v>yellow; orange; blue</x:v>
      </x:c>
      <x:c r="N59" s="24" t="n">
        <x:v>6</x:v>
      </x:c>
      <x:c r="O59" s="24" t="str">
        <x:v>Circle becomes a yellow face/head with two blue leg-like extensions and a large orange shape above containing sketched forms; facial details are present</x:v>
      </x:c>
      <x:c r="P59" s="24" t="str">
        <x:v>character plus symbolic/scene transformation</x:v>
      </x:c>
      <x:c r="Q59" s="24" t="str">
        <x:v>face, blue lower extensions, orange upper shape, internal symbolic forms</x:v>
      </x:c>
      <x:c r="R59" s="24" t="str">
        <x:v>Multiple coordinated idea elements</x:v>
      </x:c>
      <x:c r="S59" s="24" t="str">
        <x:v>Distinctive because the child combines the face with clear outside extensions and an additional large symbolic area</x:v>
      </x:c>
      <x:c r="T59" s="24" t="str">
        <x:v>Yellow-dominant with orange, blue and pink accents</x:v>
      </x:c>
      <x:c r="U59" s="24" t="str">
        <x:v>Ask the child to explain the large orange shape and what the character is thinking or doing</x:v>
      </x:c>
      <x:c r="V59" s="24"/>
      <x:c r="W59" s="24"/>
      <x:c r="X59" s="24" t="str">
        <x:v>unassigned</x:v>
      </x:c>
      <x:c r="Y59" s="24" t="n">
        <x:v>4</x:v>
      </x:c>
      <x:c r="Z59" s="24" t="n">
        <x:v>4</x:v>
      </x:c>
      <x:c r="AA59" s="24" t="n">
        <x:v>4</x:v>
      </x:c>
      <x:c r="AB59" s="24" t="n">
        <x:v>4</x:v>
      </x:c>
      <x:c r="AC59" s="24" t="n">
        <x:f>SUM(Y59:AB59)</x:f>
        <x:v>16</x:v>
      </x:c>
      <x:c r="AD59" s="25" t="n">
        <x:f>AVERAGE(Y59:AB59)</x:f>
        <x:v>4</x:v>
      </x:c>
      <x:c r="AE59" s="24" t="str">
        <x:f>IF(AD59&gt;=4.5,"Very High",IF(AD59&gt;=3.5,"High",IF(AD59&gt;=2.5,"Moderate",IF(AD59&gt;=1.5,"Developing","Low"))))</x:f>
        <x:v>High</x:v>
      </x:c>
      <x:c r="AF59" s="24" t="str">
        <x:v>Good extension beyond the circle and multiple connected elements support above-average creativity; exact narrative meaning is uncertain.</x:v>
      </x:c>
      <x:c r="AG59" s="24" t="str">
        <x:v>PRELIMINARY_ONLY</x:v>
      </x:c>
      <x:c r="AH59" s="24" t="str">
        <x:v>Visual review of user-uploaded drawing; meaning of the orange upper form is ambiguous and should be confirmed.</x:v>
      </x:c>
      <x:c r="AI59" s="24" t="str">
        <x:v>validation</x:v>
      </x:c>
      <x:c r="AJ59" s="24"/>
      <x:c r="AK59" s="24"/>
      <x:c r="AL59" s="24"/>
      <x:c r="AM59" s="24"/>
      <x:c r="AN59" s="24"/>
      <x:c r="AO59" s="24" t="str">
        <x:v>descriptive_only_needs_human_scoring</x:v>
      </x:c>
      <x:c r="AP59" s="24" t="str">
        <x:f>IF(COUNT(AJ59:AM59)=4,"FINAL HUMAN-LABEL READY","PROTOTYPE ONLY - HUMAN VALIDATION REQUIRED")</x:f>
        <x:v>PROTOTYPE ONLY - HUMAN VALIDATION REQUIRED</x:v>
      </x:c>
    </x:row>
    <x:row r="60" ht="34" customHeight="1">
      <x:c r="A60" s="24" t="str">
        <x:v>S059</x:v>
      </x:c>
      <x:c r="B60" s="24" t="str">
        <x:v>PC01</x:v>
      </x:c>
      <x:c r="C60" s="24" t="str">
        <x:v>S059_PC01.jpeg</x:v>
      </x:c>
      <x:c r="D60" s="24" t="str">
        <x:v>images/picture_completion/S059_PC01.jpeg</x:v>
      </x:c>
      <x:c r="E60" s="24" t="str">
        <x:v>S059_PC01.jpeg</x:v>
      </x:c>
      <x:c r="F60" s="24" t="n">
        <x:v>960</x:v>
      </x:c>
      <x:c r="G60" s="24" t="n">
        <x:v>1280</x:v>
      </x:c>
      <x:c r="H60" s="25" t="n">
        <x:f>IF(G60=0,"",F60/G60)</x:f>
        <x:v>0.75</x:v>
      </x:c>
      <x:c r="I60" s="24" t="str">
        <x:v>portrait</x:v>
      </x:c>
      <x:c r="J60" s="26" t="n">
        <x:v>75.2</x:v>
      </x:c>
      <x:c r="K60" s="24" t="str">
        <x:v>Decorative flower with smiling face</x:v>
      </x:c>
      <x:c r="L60" s="24" t="str">
        <x:v>blue; green; pink; red; light blue; black/gray</x:v>
      </x:c>
      <x:c r="M60" s="24" t="str">
        <x:v>green; pink; blue</x:v>
      </x:c>
      <x:c r="N60" s="24" t="n">
        <x:v>6</x:v>
      </x:c>
      <x:c r="O60" s="24" t="str">
        <x:v>Circle becomes a smiling blue face at the center of a large flower with alternating green and pink/red petals, plus stem and leaves</x:v>
      </x:c>
      <x:c r="P60" s="24" t="str">
        <x:v>flower-character transformation</x:v>
      </x:c>
      <x:c r="Q60" s="24" t="str">
        <x:v>many layered petals, facial features, stem, leaves and repeated color pattern</x:v>
      </x:c>
      <x:c r="R60" s="24" t="str">
        <x:v>One main idea with many coordinated decorative parts</x:v>
      </x:c>
      <x:c r="S60" s="24" t="str">
        <x:v>Highly distinctive due to the large multicolored flower construction and detailed petal patterning</x:v>
      </x:c>
      <x:c r="T60" s="24" t="str">
        <x:v>High color variety with blue center and green/pink petals</x:v>
      </x:c>
      <x:c r="U60" s="24" t="str">
        <x:v>Ask the child to create a garden around the flower or invent another flower character with a different pattern</x:v>
      </x:c>
      <x:c r="V60" s="24"/>
      <x:c r="W60" s="24"/>
      <x:c r="X60" s="24" t="str">
        <x:v>unassigned</x:v>
      </x:c>
      <x:c r="Y60" s="24" t="n">
        <x:v>5</x:v>
      </x:c>
      <x:c r="Z60" s="24" t="n">
        <x:v>5</x:v>
      </x:c>
      <x:c r="AA60" s="24" t="n">
        <x:v>5</x:v>
      </x:c>
      <x:c r="AB60" s="24" t="n">
        <x:v>4</x:v>
      </x:c>
      <x:c r="AC60" s="24" t="n">
        <x:f>SUM(Y60:AB60)</x:f>
        <x:v>19</x:v>
      </x:c>
      <x:c r="AD60" s="25" t="n">
        <x:f>AVERAGE(Y60:AB60)</x:f>
        <x:v>4.75</x:v>
      </x:c>
      <x:c r="AE60" s="24" t="str">
        <x:f>IF(AD60&gt;=4.5,"Very High",IF(AD60&gt;=3.5,"High",IF(AD60&gt;=2.5,"Moderate",IF(AD60&gt;=1.5,"Developing","Low"))))</x:f>
        <x:v>Very High</x:v>
      </x:c>
      <x:c r="AF60" s="24" t="str">
        <x:v>Strong elaboration, color organization and transformation make this one of the more creative flower-based completions.</x:v>
      </x:c>
      <x:c r="AG60" s="24" t="str">
        <x:v>PRELIMINARY_ONLY</x:v>
      </x:c>
      <x:c r="AH60" s="24" t="str">
        <x:v>Visual review of user-uploaded drawing; creativity scores are preliminary only.</x:v>
      </x:c>
      <x:c r="AI60" s="24" t="str">
        <x:v>train</x:v>
      </x:c>
      <x:c r="AJ60" s="24"/>
      <x:c r="AK60" s="24"/>
      <x:c r="AL60" s="24"/>
      <x:c r="AM60" s="24"/>
      <x:c r="AN60" s="24"/>
      <x:c r="AO60" s="24" t="str">
        <x:v>descriptive_only_needs_human_scoring</x:v>
      </x:c>
      <x:c r="AP60" s="24" t="str">
        <x:f>IF(COUNT(AJ60:AM60)=4,"FINAL HUMAN-LABEL READY","PROTOTYPE ONLY - HUMAN VALIDATION REQUIRED")</x:f>
        <x:v>PROTOTYPE ONLY - HUMAN VALIDATION REQUIRED</x:v>
      </x:c>
    </x:row>
    <x:row r="61" ht="34" customHeight="1">
      <x:c r="A61" s="24" t="str">
        <x:v>S060</x:v>
      </x:c>
      <x:c r="B61" s="24" t="str">
        <x:v>PC01</x:v>
      </x:c>
      <x:c r="C61" s="24" t="str">
        <x:v>S060_PC01.jpeg</x:v>
      </x:c>
      <x:c r="D61" s="24" t="str">
        <x:v>images/picture_completion/S060_PC01.jpeg</x:v>
      </x:c>
      <x:c r="E61" s="24" t="str">
        <x:v>S060_PC01.jpeg</x:v>
      </x:c>
      <x:c r="F61" s="24" t="n">
        <x:v>960</x:v>
      </x:c>
      <x:c r="G61" s="24" t="n">
        <x:v>1280</x:v>
      </x:c>
      <x:c r="H61" s="25" t="n">
        <x:f>IF(G61=0,"",F61/G61)</x:f>
        <x:v>0.75</x:v>
      </x:c>
      <x:c r="I61" s="24" t="str">
        <x:v>portrait</x:v>
      </x:c>
      <x:c r="J61" s="26" t="n">
        <x:v>61</x:v>
      </x:c>
      <x:c r="K61" s="24" t="str">
        <x:v>Flower with tree/holiday-like scene inside center</x:v>
      </x:c>
      <x:c r="L61" s="24" t="str">
        <x:v>yellow; green; brown; purple; red; black/gray</x:v>
      </x:c>
      <x:c r="M61" s="24" t="str">
        <x:v>yellow; purple; red</x:v>
      </x:c>
      <x:c r="N61" s="24" t="n">
        <x:v>6</x:v>
      </x:c>
      <x:c r="O61" s="24" t="str">
        <x:v>Circle becomes the center of a large flower with purple/red petals; inside the circle is a green tree-like triangular form with brown trunk and small surrounding shapes</x:v>
      </x:c>
      <x:c r="P61" s="24" t="str">
        <x:v>flower plus internal scene transformation</x:v>
      </x:c>
      <x:c r="Q61" s="24" t="str">
        <x:v>large petals, internal tree-like object, trunk, decorative small forms and stem/leaf</x:v>
      </x:c>
      <x:c r="R61" s="24" t="str">
        <x:v>Multiple coordinated idea elements</x:v>
      </x:c>
      <x:c r="S61" s="24" t="str">
        <x:v>Highly distinctive because it combines a flower transformation with a second scene/object inside the central circle</x:v>
      </x:c>
      <x:c r="T61" s="24" t="str">
        <x:v>Yellow center with purple/red petals and green-brown internal object</x:v>
      </x:c>
      <x:c r="U61" s="24" t="str">
        <x:v>Ask the child to explain the tree-like object and create a story connecting the flower and the scene inside it</x:v>
      </x:c>
      <x:c r="V61" s="24"/>
      <x:c r="W61" s="24"/>
      <x:c r="X61" s="24" t="str">
        <x:v>unassigned</x:v>
      </x:c>
      <x:c r="Y61" s="24" t="n">
        <x:v>5</x:v>
      </x:c>
      <x:c r="Z61" s="24" t="n">
        <x:v>5</x:v>
      </x:c>
      <x:c r="AA61" s="24" t="n">
        <x:v>5</x:v>
      </x:c>
      <x:c r="AB61" s="24" t="n">
        <x:v>5</x:v>
      </x:c>
      <x:c r="AC61" s="24" t="n">
        <x:f>SUM(Y61:AB61)</x:f>
        <x:v>20</x:v>
      </x:c>
      <x:c r="AD61" s="25" t="n">
        <x:f>AVERAGE(Y61:AB61)</x:f>
        <x:v>5</x:v>
      </x:c>
      <x:c r="AE61" s="24" t="str">
        <x:f>IF(AD61&gt;=4.5,"Very High",IF(AD61&gt;=3.5,"High",IF(AD61&gt;=2.5,"Moderate",IF(AD61&gt;=1.5,"Developing","Low"))))</x:f>
        <x:v>Very High</x:v>
      </x:c>
      <x:c r="AF61" s="24" t="str">
        <x:v>Layered concept combining an outer flower and an inner scene/object demonstrates strong originality, elaboration, imagination and visible idea variety.</x:v>
      </x:c>
      <x:c r="AG61" s="24" t="str">
        <x:v>PRELIMINARY_ONLY</x:v>
      </x:c>
      <x:c r="AH61" s="24" t="str">
        <x:v>Visual review of user-uploaded drawing; exact identity of the internal triangular form should be confirmed with the child.</x:v>
      </x:c>
      <x:c r="AI61" s="24" t="str">
        <x:v>train</x:v>
      </x:c>
      <x:c r="AJ61" s="24"/>
      <x:c r="AK61" s="24"/>
      <x:c r="AL61" s="24"/>
      <x:c r="AM61" s="24"/>
      <x:c r="AN61" s="24"/>
      <x:c r="AO61" s="24" t="str">
        <x:v>descriptive_only_needs_human_scoring</x:v>
      </x:c>
      <x:c r="AP61" s="24" t="str">
        <x:f>IF(COUNT(AJ61:AM61)=4,"FINAL HUMAN-LABEL READY","PROTOTYPE ONLY - HUMAN VALIDATION REQUIRED")</x:f>
        <x:v>PROTOTYPE ONLY - HUMAN VALIDATION REQUIRED</x:v>
      </x:c>
    </x:row>
    <x:row r="62" ht="34" customHeight="1">
      <x:c r="A62" s="24" t="str">
        <x:v>S061</x:v>
      </x:c>
      <x:c r="B62" s="24" t="str">
        <x:v>PC01</x:v>
      </x:c>
      <x:c r="C62" s="24" t="str">
        <x:v>S061_PC01.jpeg</x:v>
      </x:c>
      <x:c r="D62" s="24" t="str">
        <x:v>images/picture_completion/S061_PC01.jpeg</x:v>
      </x:c>
      <x:c r="E62" s="24" t="str">
        <x:v>S061_PC01.jpeg</x:v>
      </x:c>
      <x:c r="F62" s="24" t="n">
        <x:v>960</x:v>
      </x:c>
      <x:c r="G62" s="24" t="n">
        <x:v>1280</x:v>
      </x:c>
      <x:c r="H62" s="25" t="n">
        <x:f>IF(G62=0,"",F62/G62)</x:f>
        <x:v>0.75</x:v>
      </x:c>
      <x:c r="I62" s="24" t="str">
        <x:v>portrait</x:v>
      </x:c>
      <x:c r="J62" s="26" t="n">
        <x:v>54.3</x:v>
      </x:c>
      <x:c r="K62" s="24" t="str">
        <x:v>Flower character in outdoor scene</x:v>
      </x:c>
      <x:c r="L62" s="24" t="str">
        <x:v>yellow; pink; orange; green; blue; black/gray</x:v>
      </x:c>
      <x:c r="M62" s="24" t="str">
        <x:v>yellow; pink; green</x:v>
      </x:c>
      <x:c r="N62" s="24" t="n">
        <x:v>6</x:v>
      </x:c>
      <x:c r="O62" s="24" t="str">
        <x:v>Circle becomes a smiling flower face with many pink/orange petals; the page also includes a butterfly, clouds, sun, stem and grass</x:v>
      </x:c>
      <x:c r="P62" s="24" t="str">
        <x:v>flower-character scene transformation</x:v>
      </x:c>
      <x:c r="Q62" s="24" t="str">
        <x:v>many petals, face, stem, grass, butterfly, clouds and sun</x:v>
      </x:c>
      <x:c r="R62" s="24" t="str">
        <x:v>Multiple coordinated idea elements</x:v>
      </x:c>
      <x:c r="S62" s="24" t="str">
        <x:v>Highly distinctive because the circle is developed into a flower character within a complete outdoor scene</x:v>
      </x:c>
      <x:c r="T62" s="24" t="str">
        <x:v>Yellow center with pink/orange petals and green-blue environmental details</x:v>
      </x:c>
      <x:c r="U62" s="24" t="str">
        <x:v>Ask the child to tell a story about the flower and butterfly, then add another animal or weather change</x:v>
      </x:c>
      <x:c r="V62" s="24"/>
      <x:c r="W62" s="24"/>
      <x:c r="X62" s="24" t="str">
        <x:v>unassigned</x:v>
      </x:c>
      <x:c r="Y62" s="24" t="n">
        <x:v>5</x:v>
      </x:c>
      <x:c r="Z62" s="24" t="n">
        <x:v>5</x:v>
      </x:c>
      <x:c r="AA62" s="24" t="n">
        <x:v>5</x:v>
      </x:c>
      <x:c r="AB62" s="24" t="n">
        <x:v>5</x:v>
      </x:c>
      <x:c r="AC62" s="24" t="n">
        <x:f>SUM(Y62:AB62)</x:f>
        <x:v>20</x:v>
      </x:c>
      <x:c r="AD62" s="25" t="n">
        <x:f>AVERAGE(Y62:AB62)</x:f>
        <x:v>5</x:v>
      </x:c>
      <x:c r="AE62" s="24" t="str">
        <x:f>IF(AD62&gt;=4.5,"Very High",IF(AD62&gt;=3.5,"High",IF(AD62&gt;=2.5,"Moderate",IF(AD62&gt;=1.5,"Developing","Low"))))</x:f>
        <x:v>Very High</x:v>
      </x:c>
      <x:c r="AF62" s="24" t="str">
        <x:v>Strong scene building, multiple object categories and clear extension beyond the circle support very high preliminary creativity.</x:v>
      </x:c>
      <x:c r="AG62" s="24" t="str">
        <x:v>PRELIMINARY_ONLY</x:v>
      </x:c>
      <x:c r="AH62" s="24" t="str">
        <x:v>Visual review of user-uploaded drawing; creativity scores are preliminary only.</x:v>
      </x:c>
      <x:c r="AI62" s="24" t="str">
        <x:v>train</x:v>
      </x:c>
      <x:c r="AJ62" s="24"/>
      <x:c r="AK62" s="24"/>
      <x:c r="AL62" s="24"/>
      <x:c r="AM62" s="24"/>
      <x:c r="AN62" s="24"/>
      <x:c r="AO62" s="24" t="str">
        <x:v>descriptive_only_needs_human_scoring</x:v>
      </x:c>
      <x:c r="AP62" s="24" t="str">
        <x:f>IF(COUNT(AJ62:AM62)=4,"FINAL HUMAN-LABEL READY","PROTOTYPE ONLY - HUMAN VALIDATION REQUIRED")</x:f>
        <x:v>PROTOTYPE ONLY - HUMAN VALIDATION REQUIRED</x:v>
      </x:c>
    </x:row>
    <x:row r="63" ht="34" customHeight="1">
      <x:c r="A63" s="24" t="str">
        <x:v>S062</x:v>
      </x:c>
      <x:c r="B63" s="24" t="str">
        <x:v>PC01</x:v>
      </x:c>
      <x:c r="C63" s="24" t="str">
        <x:v>S062_PC01.jpeg</x:v>
      </x:c>
      <x:c r="D63" s="24" t="str">
        <x:v>images/picture_completion/S062_PC01.jpeg</x:v>
      </x:c>
      <x:c r="E63" s="24" t="str">
        <x:v>S062_PC01.jpeg</x:v>
      </x:c>
      <x:c r="F63" s="24" t="n">
        <x:v>960</x:v>
      </x:c>
      <x:c r="G63" s="24" t="n">
        <x:v>1280</x:v>
      </x:c>
      <x:c r="H63" s="25" t="n">
        <x:f>IF(G63=0,"",F63/G63)</x:f>
        <x:v>0.75</x:v>
      </x:c>
      <x:c r="I63" s="24" t="str">
        <x:v>portrait</x:v>
      </x:c>
      <x:c r="J63" s="26" t="n">
        <x:v>67.8</x:v>
      </x:c>
      <x:c r="K63" s="24" t="str">
        <x:v>Purple flower</x:v>
      </x:c>
      <x:c r="L63" s="24" t="str">
        <x:v>purple; orange; green; black/gray</x:v>
      </x:c>
      <x:c r="M63" s="24" t="str">
        <x:v>purple</x:v>
      </x:c>
      <x:c r="N63" s="24" t="n">
        <x:v>3</x:v>
      </x:c>
      <x:c r="O63" s="24" t="str">
        <x:v>Circle forms the center of a large flower with many purple petals, one orange-purple petal area and a green stem/leaf</x:v>
      </x:c>
      <x:c r="P63" s="24" t="str">
        <x:v>flower transformation</x:v>
      </x:c>
      <x:c r="Q63" s="24" t="str">
        <x:v>multiple petals, stem, leaf and color variation</x:v>
      </x:c>
      <x:c r="R63" s="24" t="str">
        <x:v>One main idea with repeated structural elements</x:v>
      </x:c>
      <x:c r="S63" s="24" t="str">
        <x:v>Flower theme appears elsewhere, but the dense purple petal arrangement gives some distinctiveness</x:v>
      </x:c>
      <x:c r="T63" s="24" t="str">
        <x:v>Purple-dominant with orange and green accents</x:v>
      </x:c>
      <x:c r="U63" s="24" t="str">
        <x:v>Ask the child to add a setting, insects, weather or another flower to expand the scene</x:v>
      </x:c>
      <x:c r="V63" s="24"/>
      <x:c r="W63" s="24"/>
      <x:c r="X63" s="24" t="str">
        <x:v>unassigned</x:v>
      </x:c>
      <x:c r="Y63" s="24" t="n">
        <x:v>3</x:v>
      </x:c>
      <x:c r="Z63" s="24" t="n">
        <x:v>4</x:v>
      </x:c>
      <x:c r="AA63" s="24" t="n">
        <x:v>3</x:v>
      </x:c>
      <x:c r="AB63" s="24" t="n">
        <x:v>3</x:v>
      </x:c>
      <x:c r="AC63" s="24" t="n">
        <x:f>SUM(Y63:AB63)</x:f>
        <x:v>13</x:v>
      </x:c>
      <x:c r="AD63" s="25" t="n">
        <x:f>AVERAGE(Y63:AB63)</x:f>
        <x:v>3.25</x:v>
      </x:c>
      <x:c r="AE63" s="24" t="str">
        <x:f>IF(AD63&gt;=4.5,"Very High",IF(AD63&gt;=3.5,"High",IF(AD63&gt;=2.5,"Moderate",IF(AD63&gt;=1.5,"Developing","Low"))))</x:f>
        <x:v>Moderate</x:v>
      </x:c>
      <x:c r="AF63" s="24" t="str">
        <x:v>Moderate originality with good elaboration through the many petals and stem/leaf structure.</x:v>
      </x:c>
      <x:c r="AG63" s="24" t="str">
        <x:v>PRELIMINARY_ONLY</x:v>
      </x:c>
      <x:c r="AH63" s="24" t="str">
        <x:v>Visual review of user-uploaded drawing; creativity scores are preliminary only.</x:v>
      </x:c>
      <x:c r="AI63" s="24" t="str">
        <x:v>train</x:v>
      </x:c>
      <x:c r="AJ63" s="24"/>
      <x:c r="AK63" s="24"/>
      <x:c r="AL63" s="24"/>
      <x:c r="AM63" s="24"/>
      <x:c r="AN63" s="24"/>
      <x:c r="AO63" s="24" t="str">
        <x:v>descriptive_only_needs_human_scoring</x:v>
      </x:c>
      <x:c r="AP63" s="24" t="str">
        <x:f>IF(COUNT(AJ63:AM63)=4,"FINAL HUMAN-LABEL READY","PROTOTYPE ONLY - HUMAN VALIDATION REQUIRED")</x:f>
        <x:v>PROTOTYPE ONLY - HUMAN VALIDATION REQUIRED</x:v>
      </x:c>
    </x:row>
    <x:row r="64" ht="34" customHeight="1">
      <x:c r="A64" s="24" t="str">
        <x:v>S063</x:v>
      </x:c>
      <x:c r="B64" s="24" t="str">
        <x:v>PC01</x:v>
      </x:c>
      <x:c r="C64" s="24" t="str">
        <x:v>S063_PC01.jpeg</x:v>
      </x:c>
      <x:c r="D64" s="24" t="str">
        <x:v>images/picture_completion/S063_PC01.jpeg</x:v>
      </x:c>
      <x:c r="E64" s="24" t="str">
        <x:v>S063_PC01.jpeg</x:v>
      </x:c>
      <x:c r="F64" s="24" t="n">
        <x:v>960</x:v>
      </x:c>
      <x:c r="G64" s="24" t="n">
        <x:v>1280</x:v>
      </x:c>
      <x:c r="H64" s="25" t="n">
        <x:f>IF(G64=0,"",F64/G64)</x:f>
        <x:v>0.75</x:v>
      </x:c>
      <x:c r="I64" s="24" t="str">
        <x:v>portrait</x:v>
      </x:c>
      <x:c r="J64" s="26" t="n">
        <x:v>49.7</x:v>
      </x:c>
      <x:c r="K64" s="24" t="str">
        <x:v>Full human character</x:v>
      </x:c>
      <x:c r="L64" s="24" t="str">
        <x:v>yellow; pink; green; black; red</x:v>
      </x:c>
      <x:c r="M64" s="24" t="str">
        <x:v>yellow; pink</x:v>
      </x:c>
      <x:c r="N64" s="24" t="n">
        <x:v>5</x:v>
      </x:c>
      <x:c r="O64" s="24" t="str">
        <x:v>Circle becomes the head of a complete person with black hair, pink ears and clothing/body below the circle</x:v>
      </x:c>
      <x:c r="P64" s="24" t="str">
        <x:v>human-character transformation</x:v>
      </x:c>
      <x:c r="Q64" s="24" t="str">
        <x:v>hair, ears, eyes, mouth, torso, arms and legs/body blocks</x:v>
      </x:c>
      <x:c r="R64" s="24" t="str">
        <x:v>One main idea with multiple coordinated body parts</x:v>
      </x:c>
      <x:c r="S64" s="24" t="str">
        <x:v>Distinctive because the circle is integrated into a complete human figure rather than used as a standalone face</x:v>
      </x:c>
      <x:c r="T64" s="24" t="str">
        <x:v>Yellow face with pink clothing/ears and green accents</x:v>
      </x:c>
      <x:c r="U64" s="24" t="str">
        <x:v>Ask the child to name the person, describe what they are doing and draw a background scene</x:v>
      </x:c>
      <x:c r="V64" s="24"/>
      <x:c r="W64" s="24"/>
      <x:c r="X64" s="24" t="str">
        <x:v>unassigned</x:v>
      </x:c>
      <x:c r="Y64" s="24" t="n">
        <x:v>4</x:v>
      </x:c>
      <x:c r="Z64" s="24" t="n">
        <x:v>5</x:v>
      </x:c>
      <x:c r="AA64" s="24" t="n">
        <x:v>4</x:v>
      </x:c>
      <x:c r="AB64" s="24" t="n">
        <x:v>3</x:v>
      </x:c>
      <x:c r="AC64" s="24" t="n">
        <x:f>SUM(Y64:AB64)</x:f>
        <x:v>16</x:v>
      </x:c>
      <x:c r="AD64" s="25" t="n">
        <x:f>AVERAGE(Y64:AB64)</x:f>
        <x:v>4</x:v>
      </x:c>
      <x:c r="AE64" s="24" t="str">
        <x:f>IF(AD64&gt;=4.5,"Very High",IF(AD64&gt;=3.5,"High",IF(AD64&gt;=2.5,"Moderate",IF(AD64&gt;=1.5,"Developing","Low"))))</x:f>
        <x:v>High</x:v>
      </x:c>
      <x:c r="AF64" s="24" t="str">
        <x:v>Strong elaboration and transformation through a complete character, though human figures also appear elsewhere in the dataset.</x:v>
      </x:c>
      <x:c r="AG64" s="24" t="str">
        <x:v>PRELIMINARY_ONLY</x:v>
      </x:c>
      <x:c r="AH64" s="24" t="str">
        <x:v>Visual review of user-uploaded drawing; creativity scores are preliminary only.</x:v>
      </x:c>
      <x:c r="AI64" s="24" t="str">
        <x:v>train</x:v>
      </x:c>
      <x:c r="AJ64" s="24"/>
      <x:c r="AK64" s="24"/>
      <x:c r="AL64" s="24"/>
      <x:c r="AM64" s="24"/>
      <x:c r="AN64" s="24"/>
      <x:c r="AO64" s="24" t="str">
        <x:v>descriptive_only_needs_human_scoring</x:v>
      </x:c>
      <x:c r="AP64" s="24" t="str">
        <x:f>IF(COUNT(AJ64:AM64)=4,"FINAL HUMAN-LABEL READY","PROTOTYPE ONLY - HUMAN VALIDATION REQUIRED")</x:f>
        <x:v>PROTOTYPE ONLY - HUMAN VALIDATION REQUIRED</x:v>
      </x:c>
    </x:row>
    <x:row r="65" ht="34" customHeight="1">
      <x:c r="A65" s="24" t="str">
        <x:v>S064</x:v>
      </x:c>
      <x:c r="B65" s="24" t="str">
        <x:v>PC01</x:v>
      </x:c>
      <x:c r="C65" s="24" t="str">
        <x:v>S064_PC01.jpeg</x:v>
      </x:c>
      <x:c r="D65" s="24" t="str">
        <x:v>images/picture_completion/S064_PC01.jpeg</x:v>
      </x:c>
      <x:c r="E65" s="24" t="str">
        <x:v>S064_PC01.jpeg</x:v>
      </x:c>
      <x:c r="F65" s="24" t="n">
        <x:v>960</x:v>
      </x:c>
      <x:c r="G65" s="24" t="n">
        <x:v>1280</x:v>
      </x:c>
      <x:c r="H65" s="25" t="n">
        <x:f>IF(G65=0,"",F65/G65)</x:f>
        <x:v>0.75</x:v>
      </x:c>
      <x:c r="I65" s="24" t="str">
        <x:v>portrait</x:v>
      </x:c>
      <x:c r="J65" s="26" t="n">
        <x:v>63.7</x:v>
      </x:c>
      <x:c r="K65" s="24" t="str">
        <x:v>Sun/character with additional small figure and symbols</x:v>
      </x:c>
      <x:c r="L65" s="24" t="str">
        <x:v>yellow; orange; blue; pink; black/gray</x:v>
      </x:c>
      <x:c r="M65" s="24" t="str">
        <x:v>yellow; orange</x:v>
      </x:c>
      <x:c r="N65" s="24" t="n">
        <x:v>5</x:v>
      </x:c>
      <x:c r="O65" s="24" t="str">
        <x:v>Circle becomes a yellow sun-like face with long orange rays; several extra symbols and a small blue-pink character appear outside the circle</x:v>
      </x:c>
      <x:c r="P65" s="24" t="str">
        <x:v>sun-character scene transformation</x:v>
      </x:c>
      <x:c r="Q65" s="24" t="str">
        <x:v>sun rays, facial features, symbolic marks and small additional character</x:v>
      </x:c>
      <x:c r="R65" s="24" t="str">
        <x:v>Multiple coordinated idea elements</x:v>
      </x:c>
      <x:c r="S65" s="24" t="str">
        <x:v>Sun theme is common, but the extra character and surrounding symbolic marks make this response more distinctive</x:v>
      </x:c>
      <x:c r="T65" s="24" t="str">
        <x:v>Yellow center with orange rays and small blue/pink details</x:v>
      </x:c>
      <x:c r="U65" s="24" t="str">
        <x:v>Ask the child to explain the small character and symbols and turn them into a connected story</x:v>
      </x:c>
      <x:c r="V65" s="24"/>
      <x:c r="W65" s="24"/>
      <x:c r="X65" s="24" t="str">
        <x:v>unassigned</x:v>
      </x:c>
      <x:c r="Y65" s="24" t="n">
        <x:v>4</x:v>
      </x:c>
      <x:c r="Z65" s="24" t="n">
        <x:v>4</x:v>
      </x:c>
      <x:c r="AA65" s="24" t="n">
        <x:v>4</x:v>
      </x:c>
      <x:c r="AB65" s="24" t="n">
        <x:v>4</x:v>
      </x:c>
      <x:c r="AC65" s="24" t="n">
        <x:f>SUM(Y65:AB65)</x:f>
        <x:v>16</x:v>
      </x:c>
      <x:c r="AD65" s="25" t="n">
        <x:f>AVERAGE(Y65:AB65)</x:f>
        <x:v>4</x:v>
      </x:c>
      <x:c r="AE65" s="24" t="str">
        <x:f>IF(AD65&gt;=4.5,"Very High",IF(AD65&gt;=3.5,"High",IF(AD65&gt;=2.5,"Moderate",IF(AD65&gt;=1.5,"Developing","Low"))))</x:f>
        <x:v>High</x:v>
      </x:c>
      <x:c r="AF65" s="24" t="str">
        <x:v>Above-average creativity because the common sun idea is extended with additional characters and symbols.</x:v>
      </x:c>
      <x:c r="AG65" s="24" t="str">
        <x:v>PRELIMINARY_ONLY</x:v>
      </x:c>
      <x:c r="AH65" s="24" t="str">
        <x:v>Visual review of user-uploaded drawing; some symbols are ambiguous and should be confirmed with the child.</x:v>
      </x:c>
      <x:c r="AI65" s="24" t="str">
        <x:v>train</x:v>
      </x:c>
      <x:c r="AJ65" s="24"/>
      <x:c r="AK65" s="24"/>
      <x:c r="AL65" s="24"/>
      <x:c r="AM65" s="24"/>
      <x:c r="AN65" s="24"/>
      <x:c r="AO65" s="24" t="str">
        <x:v>descriptive_only_needs_human_scoring</x:v>
      </x:c>
      <x:c r="AP65" s="24" t="str">
        <x:f>IF(COUNT(AJ65:AM65)=4,"FINAL HUMAN-LABEL READY","PROTOTYPE ONLY - HUMAN VALIDATION REQUIRED")</x:f>
        <x:v>PROTOTYPE ONLY - HUMAN VALIDATION REQUIRED</x:v>
      </x:c>
    </x:row>
    <x:row r="66" ht="34" customHeight="1">
      <x:c r="A66" s="24" t="str">
        <x:v>S065</x:v>
      </x:c>
      <x:c r="B66" s="24" t="str">
        <x:v>PC01</x:v>
      </x:c>
      <x:c r="C66" s="24" t="str">
        <x:v>S065_PC01.jpeg</x:v>
      </x:c>
      <x:c r="D66" s="24" t="str">
        <x:v>images/picture_completion/S065_PC01.jpeg</x:v>
      </x:c>
      <x:c r="E66" s="24" t="str">
        <x:v>S065_PC01.jpeg</x:v>
      </x:c>
      <x:c r="F66" s="24" t="n">
        <x:v>960</x:v>
      </x:c>
      <x:c r="G66" s="24" t="n">
        <x:v>1280</x:v>
      </x:c>
      <x:c r="H66" s="25" t="n">
        <x:f>IF(G66=0,"",F66/G66)</x:f>
        <x:v>0.75</x:v>
      </x:c>
      <x:c r="I66" s="24" t="str">
        <x:v>portrait</x:v>
      </x:c>
      <x:c r="J66" s="26" t="n">
        <x:v>72</x:v>
      </x:c>
      <x:c r="K66" s="24" t="str">
        <x:v>Orange-petal flower with purple patterned center</x:v>
      </x:c>
      <x:c r="L66" s="24" t="str">
        <x:v>purple; orange; black/gray</x:v>
      </x:c>
      <x:c r="M66" s="24" t="str">
        <x:v>purple; orange</x:v>
      </x:c>
      <x:c r="N66" s="24" t="n">
        <x:v>3</x:v>
      </x:c>
      <x:c r="O66" s="24" t="str">
        <x:v>Circle forms the dark purple center of a flower with many large orange petals and a simple stem</x:v>
      </x:c>
      <x:c r="P66" s="24" t="str">
        <x:v>flower transformation</x:v>
      </x:c>
      <x:c r="Q66" s="24" t="str">
        <x:v>large petals, dense center texture and stem</x:v>
      </x:c>
      <x:c r="R66" s="24" t="str">
        <x:v>One main idea</x:v>
      </x:c>
      <x:c r="S66" s="24" t="str">
        <x:v>Flower idea is repeated in later responses, though the strong orange-purple contrast is visually distinctive</x:v>
      </x:c>
      <x:c r="T66" s="24" t="str">
        <x:v>Purple center with orange petals</x:v>
      </x:c>
      <x:c r="U66" s="24" t="str">
        <x:v>Ask the child to add leaves, background, insects or another flower with a different petal pattern</x:v>
      </x:c>
      <x:c r="V66" s="24"/>
      <x:c r="W66" s="24"/>
      <x:c r="X66" s="24" t="str">
        <x:v>unassigned</x:v>
      </x:c>
      <x:c r="Y66" s="24" t="n">
        <x:v>3</x:v>
      </x:c>
      <x:c r="Z66" s="24" t="n">
        <x:v>4</x:v>
      </x:c>
      <x:c r="AA66" s="24" t="n">
        <x:v>3</x:v>
      </x:c>
      <x:c r="AB66" s="24" t="n">
        <x:v>3</x:v>
      </x:c>
      <x:c r="AC66" s="24" t="n">
        <x:f>SUM(Y66:AB66)</x:f>
        <x:v>13</x:v>
      </x:c>
      <x:c r="AD66" s="25" t="n">
        <x:f>AVERAGE(Y66:AB66)</x:f>
        <x:v>3.25</x:v>
      </x:c>
      <x:c r="AE66" s="24" t="str">
        <x:f>IF(AD66&gt;=4.5,"Very High",IF(AD66&gt;=3.5,"High",IF(AD66&gt;=2.5,"Moderate",IF(AD66&gt;=1.5,"Developing","Low"))))</x:f>
        <x:v>Moderate</x:v>
      </x:c>
      <x:c r="AF66" s="24" t="str">
        <x:v>Good elaboration through repeated large petals and strong color contrast, but concept is relatively common.</x:v>
      </x:c>
      <x:c r="AG66" s="24" t="str">
        <x:v>PRELIMINARY_ONLY</x:v>
      </x:c>
      <x:c r="AH66" s="24" t="str">
        <x:v>Visual review of user-uploaded drawing; creativity scores are preliminary only.</x:v>
      </x:c>
      <x:c r="AI66" s="24" t="str">
        <x:v>validation</x:v>
      </x:c>
      <x:c r="AJ66" s="24"/>
      <x:c r="AK66" s="24"/>
      <x:c r="AL66" s="24"/>
      <x:c r="AM66" s="24"/>
      <x:c r="AN66" s="24"/>
      <x:c r="AO66" s="24" t="str">
        <x:v>descriptive_only_needs_human_scoring</x:v>
      </x:c>
      <x:c r="AP66" s="24" t="str">
        <x:f>IF(COUNT(AJ66:AM66)=4,"FINAL HUMAN-LABEL READY","PROTOTYPE ONLY - HUMAN VALIDATION REQUIRED")</x:f>
        <x:v>PROTOTYPE ONLY - HUMAN VALIDATION REQUIRED</x:v>
      </x:c>
    </x:row>
    <x:row r="67" ht="34" customHeight="1">
      <x:c r="A67" s="24" t="str">
        <x:v>S066</x:v>
      </x:c>
      <x:c r="B67" s="24" t="str">
        <x:v>PC01</x:v>
      </x:c>
      <x:c r="C67" s="24" t="str">
        <x:v>S066_PC01.jpeg</x:v>
      </x:c>
      <x:c r="D67" s="24" t="str">
        <x:v>images/picture_completion/S066_PC01.jpeg</x:v>
      </x:c>
      <x:c r="E67" s="24" t="str">
        <x:v>S066_PC01.jpeg</x:v>
      </x:c>
      <x:c r="F67" s="24" t="n">
        <x:v>960</x:v>
      </x:c>
      <x:c r="G67" s="24" t="n">
        <x:v>1280</x:v>
      </x:c>
      <x:c r="H67" s="25" t="n">
        <x:f>IF(G67=0,"",F67/G67)</x:f>
        <x:v>0.75</x:v>
      </x:c>
      <x:c r="I67" s="24" t="str">
        <x:v>portrait</x:v>
      </x:c>
      <x:c r="J67" s="26" t="n">
        <x:v>58.1</x:v>
      </x:c>
      <x:c r="K67" s="24" t="str">
        <x:v>Multicolored flower</x:v>
      </x:c>
      <x:c r="L67" s="24" t="str">
        <x:v>yellow; blue; purple; orange; red; black/gray</x:v>
      </x:c>
      <x:c r="M67" s="24" t="str">
        <x:v>yellow; multicolor</x:v>
      </x:c>
      <x:c r="N67" s="24" t="n">
        <x:v>5</x:v>
      </x:c>
      <x:c r="O67" s="24" t="str">
        <x:v>Circle becomes the yellow center of a flower surrounded by many petals colored blue, purple, orange, red and yellow</x:v>
      </x:c>
      <x:c r="P67" s="24" t="str">
        <x:v>flower transformation</x:v>
      </x:c>
      <x:c r="Q67" s="24" t="str">
        <x:v>many petals, repeated inner red shapes and several different colors</x:v>
      </x:c>
      <x:c r="R67" s="24" t="str">
        <x:v>One main idea with repeated decorative elements</x:v>
      </x:c>
      <x:c r="S67" s="24" t="str">
        <x:v>Flower theme is common, but high color variety and patterned petals increase distinctiveness</x:v>
      </x:c>
      <x:c r="T67" s="24" t="str">
        <x:v>Yellow center with multicolored petals</x:v>
      </x:c>
      <x:c r="U67" s="24" t="str">
        <x:v>Ask the child to add stem, leaves, insects or a whole garden to create a richer scene</x:v>
      </x:c>
      <x:c r="V67" s="24"/>
      <x:c r="W67" s="24"/>
      <x:c r="X67" s="24" t="str">
        <x:v>unassigned</x:v>
      </x:c>
      <x:c r="Y67" s="24" t="n">
        <x:v>4</x:v>
      </x:c>
      <x:c r="Z67" s="24" t="n">
        <x:v>5</x:v>
      </x:c>
      <x:c r="AA67" s="24" t="n">
        <x:v>4</x:v>
      </x:c>
      <x:c r="AB67" s="24" t="n">
        <x:v>3</x:v>
      </x:c>
      <x:c r="AC67" s="24" t="n">
        <x:f>SUM(Y67:AB67)</x:f>
        <x:v>16</x:v>
      </x:c>
      <x:c r="AD67" s="25" t="n">
        <x:f>AVERAGE(Y67:AB67)</x:f>
        <x:v>4</x:v>
      </x:c>
      <x:c r="AE67" s="24" t="str">
        <x:f>IF(AD67&gt;=4.5,"Very High",IF(AD67&gt;=3.5,"High",IF(AD67&gt;=2.5,"Moderate",IF(AD67&gt;=1.5,"Developing","Low"))))</x:f>
        <x:v>High</x:v>
      </x:c>
      <x:c r="AF67" s="24" t="str">
        <x:v>Strong elaboration and color diversity; originality remains moderate because flower responses appear frequently.</x:v>
      </x:c>
      <x:c r="AG67" s="24" t="str">
        <x:v>PRELIMINARY_ONLY</x:v>
      </x:c>
      <x:c r="AH67" s="24" t="str">
        <x:v>Visual review of user-uploaded drawing; creativity scores are preliminary only.</x:v>
      </x:c>
      <x:c r="AI67" s="24" t="str">
        <x:v>train</x:v>
      </x:c>
      <x:c r="AJ67" s="24"/>
      <x:c r="AK67" s="24"/>
      <x:c r="AL67" s="24"/>
      <x:c r="AM67" s="24"/>
      <x:c r="AN67" s="24"/>
      <x:c r="AO67" s="24" t="str">
        <x:v>descriptive_only_needs_human_scoring</x:v>
      </x:c>
      <x:c r="AP67" s="24" t="str">
        <x:f>IF(COUNT(AJ67:AM67)=4,"FINAL HUMAN-LABEL READY","PROTOTYPE ONLY - HUMAN VALIDATION REQUIRED")</x:f>
        <x:v>PROTOTYPE ONLY - HUMAN VALIDATION REQUIRED</x:v>
      </x:c>
    </x:row>
    <x:row r="68" ht="34" customHeight="1">
      <x:c r="A68" s="24" t="str">
        <x:v>S067</x:v>
      </x:c>
      <x:c r="B68" s="24" t="str">
        <x:v>PC01</x:v>
      </x:c>
      <x:c r="C68" s="24" t="str">
        <x:v>S067_PC01.jpeg</x:v>
      </x:c>
      <x:c r="D68" s="24" t="str">
        <x:v>images/picture_completion/S067_PC01.jpeg</x:v>
      </x:c>
      <x:c r="E68" s="24" t="str">
        <x:v>S067_PC01.jpeg</x:v>
      </x:c>
      <x:c r="F68" s="24" t="n">
        <x:v>960</x:v>
      </x:c>
      <x:c r="G68" s="24" t="n">
        <x:v>1280</x:v>
      </x:c>
      <x:c r="H68" s="25" t="n">
        <x:f>IF(G68=0,"",F68/G68)</x:f>
        <x:v>0.75</x:v>
      </x:c>
      <x:c r="I68" s="24" t="str">
        <x:v>portrait</x:v>
      </x:c>
      <x:c r="J68" s="26" t="n">
        <x:v>62.5</x:v>
      </x:c>
      <x:c r="K68" s="24" t="str">
        <x:v>Rabbit/animal character with carrot</x:v>
      </x:c>
      <x:c r="L68" s="24" t="str">
        <x:v>yellow; gray; pink; orange; green; black/gray</x:v>
      </x:c>
      <x:c r="M68" s="24" t="str">
        <x:v>yellow; gray</x:v>
      </x:c>
      <x:c r="N68" s="24" t="n">
        <x:v>5</x:v>
      </x:c>
      <x:c r="O68" s="24" t="str">
        <x:v>Circle becomes an animal face with long ears; a full body, arms, tail and an orange carrot are added outside the circle</x:v>
      </x:c>
      <x:c r="P68" s="24" t="str">
        <x:v>animal-character transformation</x:v>
      </x:c>
      <x:c r="Q68" s="24" t="str">
        <x:v>ears, whisker-like nose detail, body, arms, tail, carrot and legs</x:v>
      </x:c>
      <x:c r="R68" s="24" t="str">
        <x:v>One main idea with many coordinated body parts</x:v>
      </x:c>
      <x:c r="S68" s="24" t="str">
        <x:v>Highly distinctive because the circle is transformed into a complete rabbit-like character holding food</x:v>
      </x:c>
      <x:c r="T68" s="24" t="str">
        <x:v>Yellow body with gray-pink ears and orange-green carrot</x:v>
      </x:c>
      <x:c r="U68" s="24" t="str">
        <x:v>Ask the child to place the rabbit in a garden and draw what happens next</x:v>
      </x:c>
      <x:c r="V68" s="24"/>
      <x:c r="W68" s="24"/>
      <x:c r="X68" s="24" t="str">
        <x:v>unassigned</x:v>
      </x:c>
      <x:c r="Y68" s="24" t="n">
        <x:v>5</x:v>
      </x:c>
      <x:c r="Z68" s="24" t="n">
        <x:v>5</x:v>
      </x:c>
      <x:c r="AA68" s="24" t="n">
        <x:v>5</x:v>
      </x:c>
      <x:c r="AB68" s="24" t="n">
        <x:v>4</x:v>
      </x:c>
      <x:c r="AC68" s="24" t="n">
        <x:f>SUM(Y68:AB68)</x:f>
        <x:v>19</x:v>
      </x:c>
      <x:c r="AD68" s="25" t="n">
        <x:f>AVERAGE(Y68:AB68)</x:f>
        <x:v>4.75</x:v>
      </x:c>
      <x:c r="AE68" s="24" t="str">
        <x:f>IF(AD68&gt;=4.5,"Very High",IF(AD68&gt;=3.5,"High",IF(AD68&gt;=2.5,"Moderate",IF(AD68&gt;=1.5,"Developing","Low"))))</x:f>
        <x:v>Very High</x:v>
      </x:c>
      <x:c r="AF68" s="24" t="str">
        <x:v>Strong transformation, recognizable animal structure and added prop support high preliminary creativity.</x:v>
      </x:c>
      <x:c r="AG68" s="24" t="str">
        <x:v>PRELIMINARY_ONLY</x:v>
      </x:c>
      <x:c r="AH68" s="24" t="str">
        <x:v>Visual review of user-uploaded drawing; exact animal identity is rabbit-like and should be confirmed with the child.</x:v>
      </x:c>
      <x:c r="AI68" s="24" t="str">
        <x:v>train</x:v>
      </x:c>
      <x:c r="AJ68" s="24"/>
      <x:c r="AK68" s="24"/>
      <x:c r="AL68" s="24"/>
      <x:c r="AM68" s="24"/>
      <x:c r="AN68" s="24"/>
      <x:c r="AO68" s="24" t="str">
        <x:v>descriptive_only_needs_human_scoring</x:v>
      </x:c>
      <x:c r="AP68" s="24" t="str">
        <x:f>IF(COUNT(AJ68:AM68)=4,"FINAL HUMAN-LABEL READY","PROTOTYPE ONLY - HUMAN VALIDATION REQUIRED")</x:f>
        <x:v>PROTOTYPE ONLY - HUMAN VALIDATION REQUIRED</x:v>
      </x:c>
    </x:row>
    <x:row r="69" ht="34" customHeight="1">
      <x:c r="A69" s="24" t="str">
        <x:v>S068</x:v>
      </x:c>
      <x:c r="B69" s="24" t="str">
        <x:v>PC01</x:v>
      </x:c>
      <x:c r="C69" s="24" t="str">
        <x:v>S068_PC01.jpeg</x:v>
      </x:c>
      <x:c r="D69" s="24" t="str">
        <x:v>images/picture_completion/S068_PC01.jpeg</x:v>
      </x:c>
      <x:c r="E69" s="24" t="str">
        <x:v>S068_PC01.jpeg</x:v>
      </x:c>
      <x:c r="F69" s="24" t="n">
        <x:v>960</x:v>
      </x:c>
      <x:c r="G69" s="24" t="n">
        <x:v>1280</x:v>
      </x:c>
      <x:c r="H69" s="25" t="n">
        <x:f>IF(G69=0,"",F69/G69)</x:f>
        <x:v>0.75</x:v>
      </x:c>
      <x:c r="I69" s="24" t="str">
        <x:v>portrait</x:v>
      </x:c>
      <x:c r="J69" s="26" t="n">
        <x:v>62.6</x:v>
      </x:c>
      <x:c r="K69" s="24" t="str">
        <x:v>Rabbit/animal character in simple scene</x:v>
      </x:c>
      <x:c r="L69" s="24" t="str">
        <x:v>yellow; orange; green; black/gray</x:v>
      </x:c>
      <x:c r="M69" s="24" t="str">
        <x:v>yellow</x:v>
      </x:c>
      <x:c r="N69" s="24" t="n">
        <x:v>4</x:v>
      </x:c>
      <x:c r="O69" s="24" t="str">
        <x:v>Circle becomes a rabbit-like face with long ears and full body; the character holds a carrot and an additional carrot is drawn nearby</x:v>
      </x:c>
      <x:c r="P69" s="24" t="str">
        <x:v>animal-character scene transformation</x:v>
      </x:c>
      <x:c r="Q69" s="24" t="str">
        <x:v>ears, face, body, arms, carrot and second carrot</x:v>
      </x:c>
      <x:c r="R69" s="24" t="str">
        <x:v>Multiple related idea elements</x:v>
      </x:c>
      <x:c r="S69" s="24" t="str">
        <x:v>Distinctive animal completion with a prop and repeated food object</x:v>
      </x:c>
      <x:c r="T69" s="24" t="str">
        <x:v>Yellow-dominant with orange-green carrot details</x:v>
      </x:c>
      <x:c r="U69" s="24" t="str">
        <x:v>Ask the child to add grass, a burrow, weather or another animal to expand the scene</x:v>
      </x:c>
      <x:c r="V69" s="24"/>
      <x:c r="W69" s="24"/>
      <x:c r="X69" s="24" t="str">
        <x:v>unassigned</x:v>
      </x:c>
      <x:c r="Y69" s="24" t="n">
        <x:v>5</x:v>
      </x:c>
      <x:c r="Z69" s="24" t="n">
        <x:v>5</x:v>
      </x:c>
      <x:c r="AA69" s="24" t="n">
        <x:v>5</x:v>
      </x:c>
      <x:c r="AB69" s="24" t="n">
        <x:v>4</x:v>
      </x:c>
      <x:c r="AC69" s="24" t="n">
        <x:f>SUM(Y69:AB69)</x:f>
        <x:v>19</x:v>
      </x:c>
      <x:c r="AD69" s="25" t="n">
        <x:f>AVERAGE(Y69:AB69)</x:f>
        <x:v>4.75</x:v>
      </x:c>
      <x:c r="AE69" s="24" t="str">
        <x:f>IF(AD69&gt;=4.5,"Very High",IF(AD69&gt;=3.5,"High",IF(AD69&gt;=2.5,"Moderate",IF(AD69&gt;=1.5,"Developing","Low"))))</x:f>
        <x:v>Very High</x:v>
      </x:c>
      <x:c r="AF69" s="24" t="str">
        <x:v>Complete animal character plus contextual carrot objects show strong elaboration and imagination.</x:v>
      </x:c>
      <x:c r="AG69" s="24" t="str">
        <x:v>PRELIMINARY_ONLY</x:v>
      </x:c>
      <x:c r="AH69" s="24" t="str">
        <x:v>Visual review of user-uploaded drawing; rabbit interpretation should be confirmed with the child.</x:v>
      </x:c>
      <x:c r="AI69" s="24" t="str">
        <x:v>train</x:v>
      </x:c>
      <x:c r="AJ69" s="24"/>
      <x:c r="AK69" s="24"/>
      <x:c r="AL69" s="24"/>
      <x:c r="AM69" s="24"/>
      <x:c r="AN69" s="24"/>
      <x:c r="AO69" s="24" t="str">
        <x:v>descriptive_only_needs_human_scoring</x:v>
      </x:c>
      <x:c r="AP69" s="24" t="str">
        <x:f>IF(COUNT(AJ69:AM69)=4,"FINAL HUMAN-LABEL READY","PROTOTYPE ONLY - HUMAN VALIDATION REQUIRED")</x:f>
        <x:v>PROTOTYPE ONLY - HUMAN VALIDATION REQUIRED</x:v>
      </x:c>
    </x:row>
    <x:row r="70" ht="34" customHeight="1">
      <x:c r="A70" s="24" t="str">
        <x:v>S069</x:v>
      </x:c>
      <x:c r="B70" s="24" t="str">
        <x:v>PC01</x:v>
      </x:c>
      <x:c r="C70" s="24" t="str">
        <x:v>S069_PC01.jpeg</x:v>
      </x:c>
      <x:c r="D70" s="24" t="str">
        <x:v>images/picture_completion/S069_PC01.jpeg</x:v>
      </x:c>
      <x:c r="E70" s="24" t="str">
        <x:v>S069_PC01.jpeg</x:v>
      </x:c>
      <x:c r="F70" s="24" t="n">
        <x:v>960</x:v>
      </x:c>
      <x:c r="G70" s="24" t="n">
        <x:v>1280</x:v>
      </x:c>
      <x:c r="H70" s="25" t="n">
        <x:f>IF(G70=0,"",F70/G70)</x:f>
        <x:v>0.75</x:v>
      </x:c>
      <x:c r="I70" s="24" t="str">
        <x:v>portrait</x:v>
      </x:c>
      <x:c r="J70" s="26" t="n">
        <x:v>80.1</x:v>
      </x:c>
      <x:c r="K70" s="24" t="str">
        <x:v>Red flower with abstract center</x:v>
      </x:c>
      <x:c r="L70" s="24" t="str">
        <x:v>red; blue; purple; black/gray</x:v>
      </x:c>
      <x:c r="M70" s="24" t="str">
        <x:v>red</x:v>
      </x:c>
      <x:c r="N70" s="24" t="n">
        <x:v>4</x:v>
      </x:c>
      <x:c r="O70" s="24" t="str">
        <x:v>Circle is used as the center of a large red flower; abstract blue/purple forms appear inside the circle and a simple stem/leaf is added</x:v>
      </x:c>
      <x:c r="P70" s="24" t="str">
        <x:v>flower transformation with abstract center</x:v>
      </x:c>
      <x:c r="Q70" s="24" t="str">
        <x:v>large petals, internal abstract shapes, stem and leaf</x:v>
      </x:c>
      <x:c r="R70" s="24" t="str">
        <x:v>One main idea with layered internal/external elements</x:v>
      </x:c>
      <x:c r="S70" s="24" t="str">
        <x:v>Flower category is repeated, but the unusual abstract center adds some distinctiveness</x:v>
      </x:c>
      <x:c r="T70" s="24" t="str">
        <x:v>Red-dominant flower with blue-purple center details</x:v>
      </x:c>
      <x:c r="U70" s="24" t="str">
        <x:v>Ask the child to explain the shapes in the center and turn them into a story or pattern</x:v>
      </x:c>
      <x:c r="V70" s="24"/>
      <x:c r="W70" s="24"/>
      <x:c r="X70" s="24" t="str">
        <x:v>unassigned</x:v>
      </x:c>
      <x:c r="Y70" s="24" t="n">
        <x:v>4</x:v>
      </x:c>
      <x:c r="Z70" s="24" t="n">
        <x:v>4</x:v>
      </x:c>
      <x:c r="AA70" s="24" t="n">
        <x:v>4</x:v>
      </x:c>
      <x:c r="AB70" s="24" t="n">
        <x:v>3</x:v>
      </x:c>
      <x:c r="AC70" s="24" t="n">
        <x:f>SUM(Y70:AB70)</x:f>
        <x:v>15</x:v>
      </x:c>
      <x:c r="AD70" s="25" t="n">
        <x:f>AVERAGE(Y70:AB70)</x:f>
        <x:v>3.75</x:v>
      </x:c>
      <x:c r="AE70" s="24" t="str">
        <x:f>IF(AD70&gt;=4.5,"Very High",IF(AD70&gt;=3.5,"High",IF(AD70&gt;=2.5,"Moderate",IF(AD70&gt;=1.5,"Developing","Low"))))</x:f>
        <x:v>High</x:v>
      </x:c>
      <x:c r="AF70" s="24" t="str">
        <x:v>Moderate-to-high creativity through layered flower structure and unusual center details.</x:v>
      </x:c>
      <x:c r="AG70" s="24" t="str">
        <x:v>PRELIMINARY_ONLY</x:v>
      </x:c>
      <x:c r="AH70" s="24" t="str">
        <x:v>Visual review of user-uploaded drawing; exact meaning of internal shapes is unclear.</x:v>
      </x:c>
      <x:c r="AI70" s="24" t="str">
        <x:v>train</x:v>
      </x:c>
      <x:c r="AJ70" s="24"/>
      <x:c r="AK70" s="24"/>
      <x:c r="AL70" s="24"/>
      <x:c r="AM70" s="24"/>
      <x:c r="AN70" s="24"/>
      <x:c r="AO70" s="24" t="str">
        <x:v>descriptive_only_needs_human_scoring</x:v>
      </x:c>
      <x:c r="AP70" s="24" t="str">
        <x:f>IF(COUNT(AJ70:AM70)=4,"FINAL HUMAN-LABEL READY","PROTOTYPE ONLY - HUMAN VALIDATION REQUIRED")</x:f>
        <x:v>PROTOTYPE ONLY - HUMAN VALIDATION REQUIRED</x:v>
      </x:c>
    </x:row>
    <x:row r="71" ht="34" customHeight="1">
      <x:c r="A71" s="24" t="str">
        <x:v>S070</x:v>
      </x:c>
      <x:c r="B71" s="24" t="str">
        <x:v>PC01</x:v>
      </x:c>
      <x:c r="C71" s="24" t="str">
        <x:v>S070_PC01.jpeg</x:v>
      </x:c>
      <x:c r="D71" s="24" t="str">
        <x:v>images/picture_completion/S070_PC01.jpeg</x:v>
      </x:c>
      <x:c r="E71" s="24" t="str">
        <x:v>S070_PC01.jpeg</x:v>
      </x:c>
      <x:c r="F71" s="24" t="n">
        <x:v>960</x:v>
      </x:c>
      <x:c r="G71" s="24" t="n">
        <x:v>1280</x:v>
      </x:c>
      <x:c r="H71" s="25" t="n">
        <x:f>IF(G71=0,"",F71/G71)</x:f>
        <x:v>0.75</x:v>
      </x:c>
      <x:c r="I71" s="24" t="str">
        <x:v>portrait</x:v>
      </x:c>
      <x:c r="J71" s="26" t="n">
        <x:v>52.8</x:v>
      </x:c>
      <x:c r="K71" s="24" t="str">
        <x:v>Full human character</x:v>
      </x:c>
      <x:c r="L71" s="24" t="str">
        <x:v>yellow; black; purple; blue; red</x:v>
      </x:c>
      <x:c r="M71" s="24" t="str">
        <x:v>yellow; purple; blue</x:v>
      </x:c>
      <x:c r="N71" s="24" t="n">
        <x:v>5</x:v>
      </x:c>
      <x:c r="O71" s="24" t="str">
        <x:v>Circle becomes the head of a complete human character with black hair, detailed facial features, purple shirt, blue trousers and arms/hands</x:v>
      </x:c>
      <x:c r="P71" s="24" t="str">
        <x:v>human-character transformation</x:v>
      </x:c>
      <x:c r="Q71" s="24" t="str">
        <x:v>hair, eyes, nose, mouth, shirt, trousers, arms and hands</x:v>
      </x:c>
      <x:c r="R71" s="24" t="str">
        <x:v>One main idea with many coordinated body parts</x:v>
      </x:c>
      <x:c r="S71" s="24" t="str">
        <x:v>Distinctive and highly elaborated compared with simple face responses</x:v>
      </x:c>
      <x:c r="T71" s="24" t="str">
        <x:v>Yellow face with black hair, purple shirt and blue trousers</x:v>
      </x:c>
      <x:c r="U71" s="24" t="str">
        <x:v>Ask the child to add a setting, activity, friend or story around the character</x:v>
      </x:c>
      <x:c r="V71" s="24"/>
      <x:c r="W71" s="24"/>
      <x:c r="X71" s="24" t="str">
        <x:v>unassigned</x:v>
      </x:c>
      <x:c r="Y71" s="24" t="n">
        <x:v>4</x:v>
      </x:c>
      <x:c r="Z71" s="24" t="n">
        <x:v>5</x:v>
      </x:c>
      <x:c r="AA71" s="24" t="n">
        <x:v>4</x:v>
      </x:c>
      <x:c r="AB71" s="24" t="n">
        <x:v>3</x:v>
      </x:c>
      <x:c r="AC71" s="24" t="n">
        <x:f>SUM(Y71:AB71)</x:f>
        <x:v>16</x:v>
      </x:c>
      <x:c r="AD71" s="25" t="n">
        <x:f>AVERAGE(Y71:AB71)</x:f>
        <x:v>4</x:v>
      </x:c>
      <x:c r="AE71" s="24" t="str">
        <x:f>IF(AD71&gt;=4.5,"Very High",IF(AD71&gt;=3.5,"High",IF(AD71&gt;=2.5,"Moderate",IF(AD71&gt;=1.5,"Developing","Low"))))</x:f>
        <x:v>High</x:v>
      </x:c>
      <x:c r="AF71" s="24" t="str">
        <x:v>Strong elaboration and full-body transformation, though human-character responses are present elsewhere in the sample.</x:v>
      </x:c>
      <x:c r="AG71" s="24" t="str">
        <x:v>PRELIMINARY_ONLY</x:v>
      </x:c>
      <x:c r="AH71" s="24" t="str">
        <x:v>Visual review of user-uploaded drawing; creativity scores are preliminary only.</x:v>
      </x:c>
      <x:c r="AI71" s="24" t="str">
        <x:v>test</x:v>
      </x:c>
      <x:c r="AJ71" s="24"/>
      <x:c r="AK71" s="24"/>
      <x:c r="AL71" s="24"/>
      <x:c r="AM71" s="24"/>
      <x:c r="AN71" s="24"/>
      <x:c r="AO71" s="24" t="str">
        <x:v>descriptive_only_needs_human_scoring</x:v>
      </x:c>
      <x:c r="AP71" s="24" t="str">
        <x:f>IF(COUNT(AJ71:AM71)=4,"FINAL HUMAN-LABEL READY","PROTOTYPE ONLY - HUMAN VALIDATION REQUIRED")</x:f>
        <x:v>PROTOTYPE ONLY - HUMAN VALIDATION REQUIRED</x:v>
      </x:c>
    </x:row>
    <x:row r="72" ht="34" customHeight="1">
      <x:c r="A72" s="24" t="str">
        <x:v>S071</x:v>
      </x:c>
      <x:c r="B72" s="24" t="str">
        <x:v>PC01</x:v>
      </x:c>
      <x:c r="C72" s="24" t="str">
        <x:v>S071_PC01.jpeg</x:v>
      </x:c>
      <x:c r="D72" s="24" t="str">
        <x:v>images/picture_completion/S071_PC01.jpeg</x:v>
      </x:c>
      <x:c r="E72" s="24" t="str">
        <x:v>S071_PC01.jpeg</x:v>
      </x:c>
      <x:c r="F72" s="24" t="n">
        <x:v>960</x:v>
      </x:c>
      <x:c r="G72" s="24" t="n">
        <x:v>1280</x:v>
      </x:c>
      <x:c r="H72" s="25" t="n">
        <x:f>IF(G72=0,"",F72/G72)</x:f>
        <x:v>0.75</x:v>
      </x:c>
      <x:c r="I72" s="24" t="str">
        <x:v>portrait</x:v>
      </x:c>
      <x:c r="J72" s="26" t="n">
        <x:v>92.6</x:v>
      </x:c>
      <x:c r="K72" s="24" t="str">
        <x:v>Bird/animal with decorative circular head</x:v>
      </x:c>
      <x:c r="L72" s="24" t="str">
        <x:v>blue; purple; yellow; orange; brown; black/gray</x:v>
      </x:c>
      <x:c r="M72" s="24" t="str">
        <x:v>blue; purple; orange</x:v>
      </x:c>
      <x:c r="N72" s="24" t="n">
        <x:v>6</x:v>
      </x:c>
      <x:c r="O72" s="24" t="str">
        <x:v>Circle becomes a decorated animal/bird-like head with blue outer feather/spike forms, yellow and purple inner regions; an orange-purple body with legs extends to the side</x:v>
      </x:c>
      <x:c r="P72" s="24" t="str">
        <x:v>animal-character transformation</x:v>
      </x:c>
      <x:c r="Q72" s="24" t="str">
        <x:v>feather/spike forms, layered circular face, body, legs, multicolor regions</x:v>
      </x:c>
      <x:c r="R72" s="24" t="str">
        <x:v>One main idea with many coordinated body parts</x:v>
      </x:c>
      <x:c r="S72" s="24" t="str">
        <x:v>Highly distinctive animal/bird-like transformation with strong extension beyond the circle</x:v>
      </x:c>
      <x:c r="T72" s="24" t="str">
        <x:v>Blue outer forms with purple, yellow and orange sections</x:v>
      </x:c>
      <x:c r="U72" s="24" t="str">
        <x:v>Ask the child to name the creature, explain where it lives and add a habitat or another related creature</x:v>
      </x:c>
      <x:c r="V72" s="24"/>
      <x:c r="W72" s="24"/>
      <x:c r="X72" s="24" t="str">
        <x:v>unassigned</x:v>
      </x:c>
      <x:c r="Y72" s="24" t="n">
        <x:v>5</x:v>
      </x:c>
      <x:c r="Z72" s="24" t="n">
        <x:v>5</x:v>
      </x:c>
      <x:c r="AA72" s="24" t="n">
        <x:v>5</x:v>
      </x:c>
      <x:c r="AB72" s="24" t="n">
        <x:v>4</x:v>
      </x:c>
      <x:c r="AC72" s="24" t="n">
        <x:f>SUM(Y72:AB72)</x:f>
        <x:v>19</x:v>
      </x:c>
      <x:c r="AD72" s="25" t="n">
        <x:f>AVERAGE(Y72:AB72)</x:f>
        <x:v>4.75</x:v>
      </x:c>
      <x:c r="AE72" s="24" t="str">
        <x:f>IF(AD72&gt;=4.5,"Very High",IF(AD72&gt;=3.5,"High",IF(AD72&gt;=2.5,"Moderate",IF(AD72&gt;=1.5,"Developing","Low"))))</x:f>
        <x:v>Very High</x:v>
      </x:c>
      <x:c r="AF72" s="24" t="str">
        <x:v>Strong transformation, layered color structure and complete body extension support high preliminary creativity.</x:v>
      </x:c>
      <x:c r="AG72" s="24" t="str">
        <x:v>PRELIMINARY_ONLY</x:v>
      </x:c>
      <x:c r="AH72" s="24" t="str">
        <x:v>Visual review; exact animal identity should be confirmed with the child.</x:v>
      </x:c>
      <x:c r="AI72" s="24" t="str">
        <x:v>train</x:v>
      </x:c>
      <x:c r="AJ72" s="24"/>
      <x:c r="AK72" s="24"/>
      <x:c r="AL72" s="24"/>
      <x:c r="AM72" s="24"/>
      <x:c r="AN72" s="24"/>
      <x:c r="AO72" s="24" t="str">
        <x:v>descriptive_only_needs_human_scoring</x:v>
      </x:c>
      <x:c r="AP72" s="24" t="str">
        <x:f>IF(COUNT(AJ72:AM72)=4,"FINAL HUMAN-LABEL READY","PROTOTYPE ONLY - HUMAN VALIDATION REQUIRED")</x:f>
        <x:v>PROTOTYPE ONLY - HUMAN VALIDATION REQUIRED</x:v>
      </x:c>
    </x:row>
    <x:row r="73" ht="34" customHeight="1">
      <x:c r="A73" s="24" t="str">
        <x:v>S072</x:v>
      </x:c>
      <x:c r="B73" s="24" t="str">
        <x:v>PC01</x:v>
      </x:c>
      <x:c r="C73" s="24" t="str">
        <x:v>S072_PC01.jpeg</x:v>
      </x:c>
      <x:c r="D73" s="24" t="str">
        <x:v>images/picture_completion/S072_PC01.jpeg</x:v>
      </x:c>
      <x:c r="E73" s="24" t="str">
        <x:v>S072_PC01.jpeg</x:v>
      </x:c>
      <x:c r="F73" s="24" t="n">
        <x:v>960</x:v>
      </x:c>
      <x:c r="G73" s="24" t="n">
        <x:v>1280</x:v>
      </x:c>
      <x:c r="H73" s="25" t="n">
        <x:f>IF(G73=0,"",F73/G73)</x:f>
        <x:v>0.75</x:v>
      </x:c>
      <x:c r="I73" s="24" t="str">
        <x:v>portrait</x:v>
      </x:c>
      <x:c r="J73" s="26" t="n">
        <x:v>79.4</x:v>
      </x:c>
      <x:c r="K73" s="24" t="str">
        <x:v>Flower-face character</x:v>
      </x:c>
      <x:c r="L73" s="24" t="str">
        <x:v>yellow; red; black/gray</x:v>
      </x:c>
      <x:c r="M73" s="24" t="str">
        <x:v>yellow; red</x:v>
      </x:c>
      <x:c r="N73" s="24" t="n">
        <x:v>3</x:v>
      </x:c>
      <x:c r="O73" s="24" t="str">
        <x:v>Circle becomes a yellow smiling face at the center of a flower with large yellow petals and red inner petal sections</x:v>
      </x:c>
      <x:c r="P73" s="24" t="str">
        <x:v>flower-character transformation</x:v>
      </x:c>
      <x:c r="Q73" s="24" t="str">
        <x:v>facial features, many petals, repeated inner color pattern</x:v>
      </x:c>
      <x:c r="R73" s="24" t="str">
        <x:v>One main idea with repeated decorative elements</x:v>
      </x:c>
      <x:c r="S73" s="24" t="str">
        <x:v>Flower-face category is repeated, but the red-yellow petal pattern adds variation</x:v>
      </x:c>
      <x:c r="T73" s="24" t="str">
        <x:v>Yellow-dominant with red inner petal details</x:v>
      </x:c>
      <x:c r="U73" s="24" t="str">
        <x:v>Ask the child to add a stem, leaves, background, insects or a story setting</x:v>
      </x:c>
      <x:c r="V73" s="24"/>
      <x:c r="W73" s="24"/>
      <x:c r="X73" s="24" t="str">
        <x:v>unassigned</x:v>
      </x:c>
      <x:c r="Y73" s="24" t="n">
        <x:v>3</x:v>
      </x:c>
      <x:c r="Z73" s="24" t="n">
        <x:v>4</x:v>
      </x:c>
      <x:c r="AA73" s="24" t="n">
        <x:v>3</x:v>
      </x:c>
      <x:c r="AB73" s="24" t="n">
        <x:v>3</x:v>
      </x:c>
      <x:c r="AC73" s="24" t="n">
        <x:f>SUM(Y73:AB73)</x:f>
        <x:v>13</x:v>
      </x:c>
      <x:c r="AD73" s="25" t="n">
        <x:f>AVERAGE(Y73:AB73)</x:f>
        <x:v>3.25</x:v>
      </x:c>
      <x:c r="AE73" s="24" t="str">
        <x:f>IF(AD73&gt;=4.5,"Very High",IF(AD73&gt;=3.5,"High",IF(AD73&gt;=2.5,"Moderate",IF(AD73&gt;=1.5,"Developing","Low"))))</x:f>
        <x:v>Moderate</x:v>
      </x:c>
      <x:c r="AF73" s="24" t="str">
        <x:v>Moderate originality with good elaboration through repeated petal structure and expressive facial details.</x:v>
      </x:c>
      <x:c r="AG73" s="24" t="str">
        <x:v>PRELIMINARY_ONLY</x:v>
      </x:c>
      <x:c r="AH73" s="24" t="str">
        <x:v>Visual review; creativity scores are preliminary only.</x:v>
      </x:c>
      <x:c r="AI73" s="24" t="str">
        <x:v>validation</x:v>
      </x:c>
      <x:c r="AJ73" s="24"/>
      <x:c r="AK73" s="24"/>
      <x:c r="AL73" s="24"/>
      <x:c r="AM73" s="24"/>
      <x:c r="AN73" s="24"/>
      <x:c r="AO73" s="24" t="str">
        <x:v>descriptive_only_needs_human_scoring</x:v>
      </x:c>
      <x:c r="AP73" s="24" t="str">
        <x:f>IF(COUNT(AJ73:AM73)=4,"FINAL HUMAN-LABEL READY","PROTOTYPE ONLY - HUMAN VALIDATION REQUIRED")</x:f>
        <x:v>PROTOTYPE ONLY - HUMAN VALIDATION REQUIRED</x:v>
      </x:c>
    </x:row>
    <x:row r="74" ht="34" customHeight="1">
      <x:c r="A74" s="24" t="str">
        <x:v>S073</x:v>
      </x:c>
      <x:c r="B74" s="24" t="str">
        <x:v>PC01</x:v>
      </x:c>
      <x:c r="C74" s="24" t="str">
        <x:v>S073_PC01.jpeg</x:v>
      </x:c>
      <x:c r="D74" s="24" t="str">
        <x:v>images/picture_completion/S073_PC01.jpeg</x:v>
      </x:c>
      <x:c r="E74" s="24" t="str">
        <x:v>S073_PC01.jpeg</x:v>
      </x:c>
      <x:c r="F74" s="24" t="n">
        <x:v>960</x:v>
      </x:c>
      <x:c r="G74" s="24" t="n">
        <x:v>1280</x:v>
      </x:c>
      <x:c r="H74" s="25" t="n">
        <x:f>IF(G74=0,"",F74/G74)</x:f>
        <x:v>0.75</x:v>
      </x:c>
      <x:c r="I74" s="24" t="str">
        <x:v>portrait</x:v>
      </x:c>
      <x:c r="J74" s="26" t="n">
        <x:v>53.5</x:v>
      </x:c>
      <x:c r="K74" s="24" t="str">
        <x:v>Rabbit/animal character holding carrot</x:v>
      </x:c>
      <x:c r="L74" s="24" t="str">
        <x:v>white; pink; red; orange; green; black/gray</x:v>
      </x:c>
      <x:c r="M74" s="24" t="str">
        <x:v>white; pink</x:v>
      </x:c>
      <x:c r="N74" s="24" t="n">
        <x:v>5</x:v>
      </x:c>
      <x:c r="O74" s="24" t="str">
        <x:v>Circle becomes a rabbit-like face with long ears; a round body and hands are added, with an orange carrot held in front</x:v>
      </x:c>
      <x:c r="P74" s="24" t="str">
        <x:v>animal-character transformation</x:v>
      </x:c>
      <x:c r="Q74" s="24" t="str">
        <x:v>long ears, eyes, nose, mouth, tongue, body, hands, carrot</x:v>
      </x:c>
      <x:c r="R74" s="24" t="str">
        <x:v>One main idea with multiple coordinated parts</x:v>
      </x:c>
      <x:c r="S74" s="24" t="str">
        <x:v>Distinctive and detailed animal completion with a recognizable prop</x:v>
      </x:c>
      <x:c r="T74" s="24" t="str">
        <x:v>Mostly unfilled/white with pink ears, red mouth and orange-green carrot</x:v>
      </x:c>
      <x:c r="U74" s="24" t="str">
        <x:v>Ask the child to place the rabbit in a garden or create a short story about what it will do with the carrot</x:v>
      </x:c>
      <x:c r="V74" s="24"/>
      <x:c r="W74" s="24"/>
      <x:c r="X74" s="24" t="str">
        <x:v>unassigned</x:v>
      </x:c>
      <x:c r="Y74" s="24" t="n">
        <x:v>5</x:v>
      </x:c>
      <x:c r="Z74" s="24" t="n">
        <x:v>5</x:v>
      </x:c>
      <x:c r="AA74" s="24" t="n">
        <x:v>5</x:v>
      </x:c>
      <x:c r="AB74" s="24" t="n">
        <x:v>4</x:v>
      </x:c>
      <x:c r="AC74" s="24" t="n">
        <x:f>SUM(Y74:AB74)</x:f>
        <x:v>19</x:v>
      </x:c>
      <x:c r="AD74" s="25" t="n">
        <x:f>AVERAGE(Y74:AB74)</x:f>
        <x:v>4.75</x:v>
      </x:c>
      <x:c r="AE74" s="24" t="str">
        <x:f>IF(AD74&gt;=4.5,"Very High",IF(AD74&gt;=3.5,"High",IF(AD74&gt;=2.5,"Moderate",IF(AD74&gt;=1.5,"Developing","Low"))))</x:f>
        <x:v>Very High</x:v>
      </x:c>
      <x:c r="AF74" s="24" t="str">
        <x:v>Strong animal transformation and prop use show high elaboration and imagination.</x:v>
      </x:c>
      <x:c r="AG74" s="24" t="str">
        <x:v>PRELIMINARY_ONLY</x:v>
      </x:c>
      <x:c r="AH74" s="24" t="str">
        <x:v>Visual review; rabbit interpretation should be confirmed with the child.</x:v>
      </x:c>
      <x:c r="AI74" s="24" t="str">
        <x:v>train</x:v>
      </x:c>
      <x:c r="AJ74" s="24"/>
      <x:c r="AK74" s="24"/>
      <x:c r="AL74" s="24"/>
      <x:c r="AM74" s="24"/>
      <x:c r="AN74" s="24"/>
      <x:c r="AO74" s="24" t="str">
        <x:v>descriptive_only_needs_human_scoring</x:v>
      </x:c>
      <x:c r="AP74" s="24" t="str">
        <x:f>IF(COUNT(AJ74:AM74)=4,"FINAL HUMAN-LABEL READY","PROTOTYPE ONLY - HUMAN VALIDATION REQUIRED")</x:f>
        <x:v>PROTOTYPE ONLY - HUMAN VALIDATION REQUIRED</x:v>
      </x:c>
    </x:row>
    <x:row r="75" ht="34" customHeight="1">
      <x:c r="A75" s="24" t="str">
        <x:v>S074</x:v>
      </x:c>
      <x:c r="B75" s="24" t="str">
        <x:v>PC01</x:v>
      </x:c>
      <x:c r="C75" s="24" t="str">
        <x:v>S074_PC01.jpeg</x:v>
      </x:c>
      <x:c r="D75" s="24" t="str">
        <x:v>images/picture_completion/S074_PC01.jpeg</x:v>
      </x:c>
      <x:c r="E75" s="24" t="str">
        <x:v>S074_PC01.jpeg</x:v>
      </x:c>
      <x:c r="F75" s="24" t="n">
        <x:v>960</x:v>
      </x:c>
      <x:c r="G75" s="24" t="n">
        <x:v>1280</x:v>
      </x:c>
      <x:c r="H75" s="25" t="n">
        <x:f>IF(G75=0,"",F75/G75)</x:f>
        <x:v>0.75</x:v>
      </x:c>
      <x:c r="I75" s="24" t="str">
        <x:v>portrait</x:v>
      </x:c>
      <x:c r="J75" s="26" t="n">
        <x:v>68.8</x:v>
      </x:c>
      <x:c r="K75" s="24" t="str">
        <x:v>Flower-face character</x:v>
      </x:c>
      <x:c r="L75" s="24" t="str">
        <x:v>yellow; green; red; black/gray</x:v>
      </x:c>
      <x:c r="M75" s="24" t="str">
        <x:v>green; yellow</x:v>
      </x:c>
      <x:c r="N75" s="24" t="n">
        <x:v>4</x:v>
      </x:c>
      <x:c r="O75" s="24" t="str">
        <x:v>Circle becomes a smiling yellow face surrounded by five large green petals with red inner sections; a thin stem and leaf are added below</x:v>
      </x:c>
      <x:c r="P75" s="24" t="str">
        <x:v>flower-character transformation</x:v>
      </x:c>
      <x:c r="Q75" s="24" t="str">
        <x:v>facial details, five patterned petals, stem, leaf</x:v>
      </x:c>
      <x:c r="R75" s="24" t="str">
        <x:v>One main idea with repeated coordinated parts</x:v>
      </x:c>
      <x:c r="S75" s="24" t="str">
        <x:v>Flower-face category is repeated, though the green-red petal design is visually distinctive</x:v>
      </x:c>
      <x:c r="T75" s="24" t="str">
        <x:v>Green petals with yellow center and red inner details</x:v>
      </x:c>
      <x:c r="U75" s="24" t="str">
        <x:v>Ask the child to add a garden scene, weather or another flower with a different shape and color pattern</x:v>
      </x:c>
      <x:c r="V75" s="24"/>
      <x:c r="W75" s="24"/>
      <x:c r="X75" s="24" t="str">
        <x:v>unassigned</x:v>
      </x:c>
      <x:c r="Y75" s="24" t="n">
        <x:v>3</x:v>
      </x:c>
      <x:c r="Z75" s="24" t="n">
        <x:v>4</x:v>
      </x:c>
      <x:c r="AA75" s="24" t="n">
        <x:v>4</x:v>
      </x:c>
      <x:c r="AB75" s="24" t="n">
        <x:v>3</x:v>
      </x:c>
      <x:c r="AC75" s="24" t="n">
        <x:f>SUM(Y75:AB75)</x:f>
        <x:v>14</x:v>
      </x:c>
      <x:c r="AD75" s="25" t="n">
        <x:f>AVERAGE(Y75:AB75)</x:f>
        <x:v>3.5</x:v>
      </x:c>
      <x:c r="AE75" s="24" t="str">
        <x:f>IF(AD75&gt;=4.5,"Very High",IF(AD75&gt;=3.5,"High",IF(AD75&gt;=2.5,"Moderate",IF(AD75&gt;=1.5,"Developing","Low"))))</x:f>
        <x:v>High</x:v>
      </x:c>
      <x:c r="AF75" s="24" t="str">
        <x:v>Good elaboration and color organization, with moderate originality because flower-character responses are common.</x:v>
      </x:c>
      <x:c r="AG75" s="24" t="str">
        <x:v>PRELIMINARY_ONLY</x:v>
      </x:c>
      <x:c r="AH75" s="24" t="str">
        <x:v>Visual review; creativity scores are preliminary only.</x:v>
      </x:c>
      <x:c r="AI75" s="24" t="str">
        <x:v>train</x:v>
      </x:c>
      <x:c r="AJ75" s="24"/>
      <x:c r="AK75" s="24"/>
      <x:c r="AL75" s="24"/>
      <x:c r="AM75" s="24"/>
      <x:c r="AN75" s="24"/>
      <x:c r="AO75" s="24" t="str">
        <x:v>descriptive_only_needs_human_scoring</x:v>
      </x:c>
      <x:c r="AP75" s="24" t="str">
        <x:f>IF(COUNT(AJ75:AM75)=4,"FINAL HUMAN-LABEL READY","PROTOTYPE ONLY - HUMAN VALIDATION REQUIRED")</x:f>
        <x:v>PROTOTYPE ONLY - HUMAN VALIDATION REQUIRED</x:v>
      </x:c>
    </x:row>
    <x:row r="76" ht="34" customHeight="1">
      <x:c r="A76" s="24" t="str">
        <x:v>S075</x:v>
      </x:c>
      <x:c r="B76" s="24" t="str">
        <x:v>PC01</x:v>
      </x:c>
      <x:c r="C76" s="24" t="str">
        <x:v>S075_PC01.jpeg</x:v>
      </x:c>
      <x:c r="D76" s="24" t="str">
        <x:v>images/picture_completion/S075_PC01.jpeg</x:v>
      </x:c>
      <x:c r="E76" s="24" t="str">
        <x:v>S075_PC01.jpeg</x:v>
      </x:c>
      <x:c r="F76" s="24" t="n">
        <x:v>960</x:v>
      </x:c>
      <x:c r="G76" s="24" t="n">
        <x:v>1280</x:v>
      </x:c>
      <x:c r="H76" s="25" t="n">
        <x:f>IF(G76=0,"",F76/G76)</x:f>
        <x:v>0.75</x:v>
      </x:c>
      <x:c r="I76" s="24" t="str">
        <x:v>portrait</x:v>
      </x:c>
      <x:c r="J76" s="26" t="n">
        <x:v>71.2</x:v>
      </x:c>
      <x:c r="K76" s="24" t="str">
        <x:v>Moon/face in night-sky scene</x:v>
      </x:c>
      <x:c r="L76" s="24" t="str">
        <x:v>yellow; blue; red; black/gray; brown/green accents</x:v>
      </x:c>
      <x:c r="M76" s="24" t="str">
        <x:v>blue; yellow</x:v>
      </x:c>
      <x:c r="N76" s="24" t="n">
        <x:v>5</x:v>
      </x:c>
      <x:c r="O76" s="24" t="str">
        <x:v>Circle becomes a large yellow face or moon-like character surrounded by many blue cloud-like forms and numerous yellow stars; a small crescent moon/face appears above</x:v>
      </x:c>
      <x:c r="P76" s="24" t="str">
        <x:v>night-sky scene transformation</x:v>
      </x:c>
      <x:c r="Q76" s="24" t="str">
        <x:v>main face/moon, clouds, many stars, crescent form, extensive page composition</x:v>
      </x:c>
      <x:c r="R76" s="24" t="str">
        <x:v>Multiple coordinated idea elements</x:v>
      </x:c>
      <x:c r="S76" s="24" t="str">
        <x:v>Highly distinctive because the circle is embedded within a complete night-sky themed composition</x:v>
      </x:c>
      <x:c r="T76" s="24" t="str">
        <x:v>Blue cloud regions with yellow face and stars</x:v>
      </x:c>
      <x:c r="U76" s="24" t="str">
        <x:v>Ask the child to tell a night-time story and add a planet, house, animal or other event to the sky</x:v>
      </x:c>
      <x:c r="V76" s="24"/>
      <x:c r="W76" s="24"/>
      <x:c r="X76" s="24" t="str">
        <x:v>unassigned</x:v>
      </x:c>
      <x:c r="Y76" s="24" t="n">
        <x:v>5</x:v>
      </x:c>
      <x:c r="Z76" s="24" t="n">
        <x:v>5</x:v>
      </x:c>
      <x:c r="AA76" s="24" t="n">
        <x:v>5</x:v>
      </x:c>
      <x:c r="AB76" s="24" t="n">
        <x:v>5</x:v>
      </x:c>
      <x:c r="AC76" s="24" t="n">
        <x:f>SUM(Y76:AB76)</x:f>
        <x:v>20</x:v>
      </x:c>
      <x:c r="AD76" s="25" t="n">
        <x:f>AVERAGE(Y76:AB76)</x:f>
        <x:v>5</x:v>
      </x:c>
      <x:c r="AE76" s="24" t="str">
        <x:f>IF(AD76&gt;=4.5,"Very High",IF(AD76&gt;=3.5,"High",IF(AD76&gt;=2.5,"Moderate",IF(AD76&gt;=1.5,"Developing","Low"))))</x:f>
        <x:v>Very High</x:v>
      </x:c>
      <x:c r="AF76" s="24" t="str">
        <x:v>Rich environmental scene, multiple symbolic elements and full-page composition support very high preliminary creativity.</x:v>
      </x:c>
      <x:c r="AG76" s="24" t="str">
        <x:v>PRELIMINARY_ONLY</x:v>
      </x:c>
      <x:c r="AH76" s="24" t="str">
        <x:v>Visual review; some small marks are interpretive and should be confirmed.</x:v>
      </x:c>
      <x:c r="AI76" s="24" t="str">
        <x:v>train</x:v>
      </x:c>
      <x:c r="AJ76" s="24"/>
      <x:c r="AK76" s="24"/>
      <x:c r="AL76" s="24"/>
      <x:c r="AM76" s="24"/>
      <x:c r="AN76" s="24"/>
      <x:c r="AO76" s="24" t="str">
        <x:v>descriptive_only_needs_human_scoring</x:v>
      </x:c>
      <x:c r="AP76" s="24" t="str">
        <x:f>IF(COUNT(AJ76:AM76)=4,"FINAL HUMAN-LABEL READY","PROTOTYPE ONLY - HUMAN VALIDATION REQUIRED")</x:f>
        <x:v>PROTOTYPE ONLY - HUMAN VALIDATION REQUIRED</x:v>
      </x:c>
    </x:row>
    <x:row r="77" ht="34" customHeight="1">
      <x:c r="A77" s="24" t="str">
        <x:v>S076</x:v>
      </x:c>
      <x:c r="B77" s="24" t="str">
        <x:v>PC01</x:v>
      </x:c>
      <x:c r="C77" s="24" t="str">
        <x:v>S076_PC01.jpeg</x:v>
      </x:c>
      <x:c r="D77" s="24" t="str">
        <x:v>images/picture_completion/S076_PC01.jpeg</x:v>
      </x:c>
      <x:c r="E77" s="24" t="str">
        <x:v>S076_PC01.jpeg</x:v>
      </x:c>
      <x:c r="F77" s="24" t="n">
        <x:v>960</x:v>
      </x:c>
      <x:c r="G77" s="24" t="n">
        <x:v>1280</x:v>
      </x:c>
      <x:c r="H77" s="25" t="n">
        <x:f>IF(G77=0,"",F77/G77)</x:f>
        <x:v>0.75</x:v>
      </x:c>
      <x:c r="I77" s="24" t="str">
        <x:v>portrait</x:v>
      </x:c>
      <x:c r="J77" s="26" t="n">
        <x:v>57.9</x:v>
      </x:c>
      <x:c r="K77" s="24" t="str">
        <x:v>Brown winged animal/insect-like character</x:v>
      </x:c>
      <x:c r="L77" s="24" t="str">
        <x:v>brown; peach/light orange; black/gray</x:v>
      </x:c>
      <x:c r="M77" s="24" t="str">
        <x:v>brown</x:v>
      </x:c>
      <x:c r="N77" s="24" t="n">
        <x:v>3</x:v>
      </x:c>
      <x:c r="O77" s="24" t="str">
        <x:v>Circle forms the round head/body area of a brown creature with a large elongated body and multiple wing- or petal-like extensions</x:v>
      </x:c>
      <x:c r="P77" s="24" t="str">
        <x:v>animal/insect transformation</x:v>
      </x:c>
      <x:c r="Q77" s="24" t="str">
        <x:v>elongated body, wing-like forms, circular head/body region</x:v>
      </x:c>
      <x:c r="R77" s="24" t="str">
        <x:v>One main idea with several body parts</x:v>
      </x:c>
      <x:c r="S77" s="24" t="str">
        <x:v>Distinctive animal/insect-like transformation, although the exact subject is unclear</x:v>
      </x:c>
      <x:c r="T77" s="24" t="str">
        <x:v>Brown-dominant with pale orange/peach circular region</x:v>
      </x:c>
      <x:c r="U77" s="24" t="str">
        <x:v>Ask the child what the creature is and add eyes, legs, habitat or movement details</x:v>
      </x:c>
      <x:c r="V77" s="24"/>
      <x:c r="W77" s="24"/>
      <x:c r="X77" s="24" t="str">
        <x:v>unassigned</x:v>
      </x:c>
      <x:c r="Y77" s="24" t="n">
        <x:v>4</x:v>
      </x:c>
      <x:c r="Z77" s="24" t="n">
        <x:v>3</x:v>
      </x:c>
      <x:c r="AA77" s="24" t="n">
        <x:v>4</x:v>
      </x:c>
      <x:c r="AB77" s="24" t="n">
        <x:v>3</x:v>
      </x:c>
      <x:c r="AC77" s="24" t="n">
        <x:f>SUM(Y77:AB77)</x:f>
        <x:v>14</x:v>
      </x:c>
      <x:c r="AD77" s="25" t="n">
        <x:f>AVERAGE(Y77:AB77)</x:f>
        <x:v>3.5</x:v>
      </x:c>
      <x:c r="AE77" s="24" t="str">
        <x:f>IF(AD77&gt;=4.5,"Very High",IF(AD77&gt;=3.5,"High",IF(AD77&gt;=2.5,"Moderate",IF(AD77&gt;=1.5,"Developing","Low"))))</x:f>
        <x:v>High</x:v>
      </x:c>
      <x:c r="AF77" s="24" t="str">
        <x:v>Uncommon transformation supports originality, while moderate detail limits elaboration.</x:v>
      </x:c>
      <x:c r="AG77" s="24" t="str">
        <x:v>PRELIMINARY_ONLY</x:v>
      </x:c>
      <x:c r="AH77" s="24" t="str">
        <x:v>Visual review; exact creature identity is uncertain.</x:v>
      </x:c>
      <x:c r="AI77" s="24" t="str">
        <x:v>test</x:v>
      </x:c>
      <x:c r="AJ77" s="24"/>
      <x:c r="AK77" s="24"/>
      <x:c r="AL77" s="24"/>
      <x:c r="AM77" s="24"/>
      <x:c r="AN77" s="24"/>
      <x:c r="AO77" s="24" t="str">
        <x:v>descriptive_only_needs_human_scoring</x:v>
      </x:c>
      <x:c r="AP77" s="24" t="str">
        <x:f>IF(COUNT(AJ77:AM77)=4,"FINAL HUMAN-LABEL READY","PROTOTYPE ONLY - HUMAN VALIDATION REQUIRED")</x:f>
        <x:v>PROTOTYPE ONLY - HUMAN VALIDATION REQUIRED</x:v>
      </x:c>
    </x:row>
    <x:row r="78" ht="34" customHeight="1">
      <x:c r="A78" s="24" t="str">
        <x:v>S077</x:v>
      </x:c>
      <x:c r="B78" s="24" t="str">
        <x:v>PC01</x:v>
      </x:c>
      <x:c r="C78" s="24" t="str">
        <x:v>S077_PC01.jpeg</x:v>
      </x:c>
      <x:c r="D78" s="24" t="str">
        <x:v>images/picture_completion/S077_PC01.jpeg</x:v>
      </x:c>
      <x:c r="E78" s="24" t="str">
        <x:v>S077_PC01.jpeg</x:v>
      </x:c>
      <x:c r="F78" s="24" t="n">
        <x:v>960</x:v>
      </x:c>
      <x:c r="G78" s="24" t="n">
        <x:v>1280</x:v>
      </x:c>
      <x:c r="H78" s="25" t="n">
        <x:f>IF(G78=0,"",F78/G78)</x:f>
        <x:v>0.75</x:v>
      </x:c>
      <x:c r="I78" s="24" t="str">
        <x:v>portrait</x:v>
      </x:c>
      <x:c r="J78" s="26" t="n">
        <x:v>59.9</x:v>
      </x:c>
      <x:c r="K78" s="24" t="str">
        <x:v>Bird/animal character with colorful side shapes</x:v>
      </x:c>
      <x:c r="L78" s="24" t="str">
        <x:v>pink; orange; yellow; gray; black/gray</x:v>
      </x:c>
      <x:c r="M78" s="24" t="str">
        <x:v>pink; orange</x:v>
      </x:c>
      <x:c r="N78" s="24" t="n">
        <x:v>5</x:v>
      </x:c>
      <x:c r="O78" s="24" t="str">
        <x:v>Circle becomes a pink animal/bird-like head/body with a dark eye; several large colored appendages extend around it, with a separate multicolored triangular/feather-like form nearby</x:v>
      </x:c>
      <x:c r="P78" s="24" t="str">
        <x:v>animal-character transformation</x:v>
      </x:c>
      <x:c r="Q78" s="24" t="str">
        <x:v>eye, multiple colored appendages, side forms, extended body parts</x:v>
      </x:c>
      <x:c r="R78" s="24" t="str">
        <x:v>One main idea with several coordinated parts</x:v>
      </x:c>
      <x:c r="S78" s="24" t="str">
        <x:v>Distinctive unusual multicolored creature rather than a simple face or flower</x:v>
      </x:c>
      <x:c r="T78" s="24" t="str">
        <x:v>Pink center with orange, yellow and gray appendages</x:v>
      </x:c>
      <x:c r="U78" s="24" t="str">
        <x:v>Ask the child to name the creature and explain what each colored body part does</x:v>
      </x:c>
      <x:c r="V78" s="24"/>
      <x:c r="W78" s="24"/>
      <x:c r="X78" s="24" t="str">
        <x:v>unassigned</x:v>
      </x:c>
      <x:c r="Y78" s="24" t="n">
        <x:v>5</x:v>
      </x:c>
      <x:c r="Z78" s="24" t="n">
        <x:v>4</x:v>
      </x:c>
      <x:c r="AA78" s="24" t="n">
        <x:v>5</x:v>
      </x:c>
      <x:c r="AB78" s="24" t="n">
        <x:v>4</x:v>
      </x:c>
      <x:c r="AC78" s="24" t="n">
        <x:f>SUM(Y78:AB78)</x:f>
        <x:v>18</x:v>
      </x:c>
      <x:c r="AD78" s="25" t="n">
        <x:f>AVERAGE(Y78:AB78)</x:f>
        <x:v>4.5</x:v>
      </x:c>
      <x:c r="AE78" s="24" t="str">
        <x:f>IF(AD78&gt;=4.5,"Very High",IF(AD78&gt;=3.5,"High",IF(AD78&gt;=2.5,"Moderate",IF(AD78&gt;=1.5,"Developing","Low"))))</x:f>
        <x:v>Very High</x:v>
      </x:c>
      <x:c r="AF78" s="24" t="str">
        <x:v>Unusual creature design and multiple appendages support high originality and imagination.</x:v>
      </x:c>
      <x:c r="AG78" s="24" t="str">
        <x:v>PRELIMINARY_ONLY</x:v>
      </x:c>
      <x:c r="AH78" s="24" t="str">
        <x:v>Visual review; exact animal identity should be confirmed with the child.</x:v>
      </x:c>
      <x:c r="AI78" s="24" t="str">
        <x:v>train</x:v>
      </x:c>
      <x:c r="AJ78" s="24"/>
      <x:c r="AK78" s="24"/>
      <x:c r="AL78" s="24"/>
      <x:c r="AM78" s="24"/>
      <x:c r="AN78" s="24"/>
      <x:c r="AO78" s="24" t="str">
        <x:v>descriptive_only_needs_human_scoring</x:v>
      </x:c>
      <x:c r="AP78" s="24" t="str">
        <x:f>IF(COUNT(AJ78:AM78)=4,"FINAL HUMAN-LABEL READY","PROTOTYPE ONLY - HUMAN VALIDATION REQUIRED")</x:f>
        <x:v>PROTOTYPE ONLY - HUMAN VALIDATION REQUIRED</x:v>
      </x:c>
    </x:row>
    <x:row r="79" ht="34" customHeight="1">
      <x:c r="A79" s="24" t="str">
        <x:v>S078</x:v>
      </x:c>
      <x:c r="B79" s="24" t="str">
        <x:v>PC01</x:v>
      </x:c>
      <x:c r="C79" s="24" t="str">
        <x:v>S078_PC01.jpeg</x:v>
      </x:c>
      <x:c r="D79" s="24" t="str">
        <x:v>images/picture_completion/S078_PC01.jpeg</x:v>
      </x:c>
      <x:c r="E79" s="24" t="str">
        <x:v>S078_PC01.jpeg</x:v>
      </x:c>
      <x:c r="F79" s="24" t="n">
        <x:v>960</x:v>
      </x:c>
      <x:c r="G79" s="24" t="n">
        <x:v>1280</x:v>
      </x:c>
      <x:c r="H79" s="25" t="n">
        <x:f>IF(G79=0,"",F79/G79)</x:f>
        <x:v>0.75</x:v>
      </x:c>
      <x:c r="I79" s="24" t="str">
        <x:v>portrait</x:v>
      </x:c>
      <x:c r="J79" s="26" t="n">
        <x:v>80.7</x:v>
      </x:c>
      <x:c r="K79" s="24" t="str">
        <x:v>Multicolored flower-face character</x:v>
      </x:c>
      <x:c r="L79" s="24" t="str">
        <x:v>yellow; pink; brown; red; orange; purple; blue; green; black</x:v>
      </x:c>
      <x:c r="M79" s="24" t="str">
        <x:v>yellow; multicolor</x:v>
      </x:c>
      <x:c r="N79" s="24" t="n">
        <x:v>8</x:v>
      </x:c>
      <x:c r="O79" s="24" t="str">
        <x:v>Circle becomes a smiling yellow flower face surrounded by many large petals in different colors; a stem and green leaf are added below</x:v>
      </x:c>
      <x:c r="P79" s="24" t="str">
        <x:v>flower-character transformation</x:v>
      </x:c>
      <x:c r="Q79" s="24" t="str">
        <x:v>many large multicolored petals, facial features, stem, leaf</x:v>
      </x:c>
      <x:c r="R79" s="24" t="str">
        <x:v>One main idea with extensive decorative variation</x:v>
      </x:c>
      <x:c r="S79" s="24" t="str">
        <x:v>Flower category is common, but the wide color variety and balanced petal pattern make this visually distinctive</x:v>
      </x:c>
      <x:c r="T79" s="24" t="str">
        <x:v>Yellow center with multicolored petals</x:v>
      </x:c>
      <x:c r="U79" s="24" t="str">
        <x:v>Ask the child to add insects, ground, weather or several different flowers to create a complete garden</x:v>
      </x:c>
      <x:c r="V79" s="24"/>
      <x:c r="W79" s="24"/>
      <x:c r="X79" s="24" t="str">
        <x:v>unassigned</x:v>
      </x:c>
      <x:c r="Y79" s="24" t="n">
        <x:v>4</x:v>
      </x:c>
      <x:c r="Z79" s="24" t="n">
        <x:v>5</x:v>
      </x:c>
      <x:c r="AA79" s="24" t="n">
        <x:v>4</x:v>
      </x:c>
      <x:c r="AB79" s="24" t="n">
        <x:v>4</x:v>
      </x:c>
      <x:c r="AC79" s="24" t="n">
        <x:f>SUM(Y79:AB79)</x:f>
        <x:v>17</x:v>
      </x:c>
      <x:c r="AD79" s="25" t="n">
        <x:f>AVERAGE(Y79:AB79)</x:f>
        <x:v>4.25</x:v>
      </x:c>
      <x:c r="AE79" s="24" t="str">
        <x:f>IF(AD79&gt;=4.5,"Very High",IF(AD79&gt;=3.5,"High",IF(AD79&gt;=2.5,"Moderate",IF(AD79&gt;=1.5,"Developing","Low"))))</x:f>
        <x:v>High</x:v>
      </x:c>
      <x:c r="AF79" s="24" t="str">
        <x:v>High elaboration and color diversity; originality is good but reduced slightly because flower completions occur frequently.</x:v>
      </x:c>
      <x:c r="AG79" s="24" t="str">
        <x:v>PRELIMINARY_ONLY</x:v>
      </x:c>
      <x:c r="AH79" s="24" t="str">
        <x:v>Visual review; creativity scores are preliminary only.</x:v>
      </x:c>
      <x:c r="AI79" s="24" t="str">
        <x:v>validation</x:v>
      </x:c>
      <x:c r="AJ79" s="24"/>
      <x:c r="AK79" s="24"/>
      <x:c r="AL79" s="24"/>
      <x:c r="AM79" s="24"/>
      <x:c r="AN79" s="24"/>
      <x:c r="AO79" s="24" t="str">
        <x:v>descriptive_only_needs_human_scoring</x:v>
      </x:c>
      <x:c r="AP79" s="24" t="str">
        <x:f>IF(COUNT(AJ79:AM79)=4,"FINAL HUMAN-LABEL READY","PROTOTYPE ONLY - HUMAN VALIDATION REQUIRED")</x:f>
        <x:v>PROTOTYPE ONLY - HUMAN VALIDATION REQUIRED</x:v>
      </x:c>
    </x:row>
    <x:row r="80" ht="34" customHeight="1">
      <x:c r="A80" s="24" t="str">
        <x:v>S079</x:v>
      </x:c>
      <x:c r="B80" s="24" t="str">
        <x:v>PC01</x:v>
      </x:c>
      <x:c r="C80" s="24" t="str">
        <x:v>S079_PC01.jpeg</x:v>
      </x:c>
      <x:c r="D80" s="24" t="str">
        <x:v>images/picture_completion/S079_PC01.jpeg</x:v>
      </x:c>
      <x:c r="E80" s="24" t="str">
        <x:v>S079_PC01.jpeg</x:v>
      </x:c>
      <x:c r="F80" s="24" t="n">
        <x:v>960</x:v>
      </x:c>
      <x:c r="G80" s="24" t="n">
        <x:v>1280</x:v>
      </x:c>
      <x:c r="H80" s="25" t="n">
        <x:f>IF(G80=0,"",F80/G80)</x:f>
        <x:v>0.75</x:v>
      </x:c>
      <x:c r="I80" s="24" t="str">
        <x:v>portrait</x:v>
      </x:c>
      <x:c r="J80" s="26" t="n">
        <x:v>60.7</x:v>
      </x:c>
      <x:c r="K80" s="24" t="str">
        <x:v>Pink pig/bear-like animal character</x:v>
      </x:c>
      <x:c r="L80" s="24" t="str">
        <x:v>pink; black/gray</x:v>
      </x:c>
      <x:c r="M80" s="24" t="str">
        <x:v>pink</x:v>
      </x:c>
      <x:c r="N80" s="24" t="n">
        <x:v>2</x:v>
      </x:c>
      <x:c r="O80" s="24" t="str">
        <x:v>Circle becomes the head of a pink animal character with rounded ears, eyes, snout, smiling mouth and a round body; a curly tail-like line appears at the side</x:v>
      </x:c>
      <x:c r="P80" s="24" t="str">
        <x:v>animal-character transformation</x:v>
      </x:c>
      <x:c r="Q80" s="24" t="str">
        <x:v>ears, snout, eyes, mouth, round body, markings, tail-like form</x:v>
      </x:c>
      <x:c r="R80" s="24" t="str">
        <x:v>One main idea with multiple body parts</x:v>
      </x:c>
      <x:c r="S80" s="24" t="str">
        <x:v>Distinctive animal character with recognizable anatomy compared with simple faces</x:v>
      </x:c>
      <x:c r="T80" s="24" t="str">
        <x:v>Pink-dominant with dark outline/details</x:v>
      </x:c>
      <x:c r="U80" s="24" t="str">
        <x:v>Ask the child to identify the animal, add legs/background and create a small story around it</x:v>
      </x:c>
      <x:c r="V80" s="24"/>
      <x:c r="W80" s="24"/>
      <x:c r="X80" s="24" t="str">
        <x:v>unassigned</x:v>
      </x:c>
      <x:c r="Y80" s="24" t="n">
        <x:v>4</x:v>
      </x:c>
      <x:c r="Z80" s="24" t="n">
        <x:v>4</x:v>
      </x:c>
      <x:c r="AA80" s="24" t="n">
        <x:v>4</x:v>
      </x:c>
      <x:c r="AB80" s="24" t="n">
        <x:v>3</x:v>
      </x:c>
      <x:c r="AC80" s="24" t="n">
        <x:f>SUM(Y80:AB80)</x:f>
        <x:v>15</x:v>
      </x:c>
      <x:c r="AD80" s="25" t="n">
        <x:f>AVERAGE(Y80:AB80)</x:f>
        <x:v>3.75</x:v>
      </x:c>
      <x:c r="AE80" s="24" t="str">
        <x:f>IF(AD80&gt;=4.5,"Very High",IF(AD80&gt;=3.5,"High",IF(AD80&gt;=2.5,"Moderate",IF(AD80&gt;=1.5,"Developing","Low"))))</x:f>
        <x:v>High</x:v>
      </x:c>
      <x:c r="AF80" s="24" t="str">
        <x:v>Complete animal structure and multiple recognizable features give moderate-to-high preliminary creativity.</x:v>
      </x:c>
      <x:c r="AG80" s="24" t="str">
        <x:v>PRELIMINARY_ONLY</x:v>
      </x:c>
      <x:c r="AH80" s="24" t="str">
        <x:v>Visual review; exact animal identity should be confirmed.</x:v>
      </x:c>
      <x:c r="AI80" s="24" t="str">
        <x:v>train</x:v>
      </x:c>
      <x:c r="AJ80" s="24"/>
      <x:c r="AK80" s="24"/>
      <x:c r="AL80" s="24"/>
      <x:c r="AM80" s="24"/>
      <x:c r="AN80" s="24"/>
      <x:c r="AO80" s="24" t="str">
        <x:v>descriptive_only_needs_human_scoring</x:v>
      </x:c>
      <x:c r="AP80" s="24" t="str">
        <x:f>IF(COUNT(AJ80:AM80)=4,"FINAL HUMAN-LABEL READY","PROTOTYPE ONLY - HUMAN VALIDATION REQUIRED")</x:f>
        <x:v>PROTOTYPE ONLY - HUMAN VALIDATION REQUIRED</x:v>
      </x:c>
    </x:row>
    <x:row r="81" ht="34" customHeight="1">
      <x:c r="A81" s="24" t="str">
        <x:v>S080</x:v>
      </x:c>
      <x:c r="B81" s="24" t="str">
        <x:v>PC01</x:v>
      </x:c>
      <x:c r="C81" s="24" t="str">
        <x:v>S080_PC01.jpeg</x:v>
      </x:c>
      <x:c r="D81" s="24" t="str">
        <x:v>images/picture_completion/S080_PC01.jpeg</x:v>
      </x:c>
      <x:c r="E81" s="24" t="str">
        <x:v>S080_PC01.jpeg</x:v>
      </x:c>
      <x:c r="F81" s="24" t="n">
        <x:v>960</x:v>
      </x:c>
      <x:c r="G81" s="24" t="n">
        <x:v>1280</x:v>
      </x:c>
      <x:c r="H81" s="25" t="n">
        <x:f>IF(G81=0,"",F81/G81)</x:f>
        <x:v>0.75</x:v>
      </x:c>
      <x:c r="I81" s="24" t="str">
        <x:v>portrait</x:v>
      </x:c>
      <x:c r="J81" s="26" t="n">
        <x:v>28.5</x:v>
      </x:c>
      <x:c r="K81" s="24" t="str">
        <x:v>Circular hanging ornament/object with four colored motifs</x:v>
      </x:c>
      <x:c r="L81" s="24" t="str">
        <x:v>blue; purple; green; pink; yellow; black</x:v>
      </x:c>
      <x:c r="M81" s="24" t="str">
        <x:v>multicolor</x:v>
      </x:c>
      <x:c r="N81" s="24" t="n">
        <x:v>5</x:v>
      </x:c>
      <x:c r="O81" s="24" t="str">
        <x:v>Circle becomes an ornament-like hanging object with a yellow top tab and four separate colored decorative motifs inside the circle</x:v>
      </x:c>
      <x:c r="P81" s="24" t="str">
        <x:v>decorative object transformation</x:v>
      </x:c>
      <x:c r="Q81" s="24" t="str">
        <x:v>top hanger/tab, four distinct internal motifs, multiple colors</x:v>
      </x:c>
      <x:c r="R81" s="24" t="str">
        <x:v>Several separate internal idea elements</x:v>
      </x:c>
      <x:c r="S81" s="24" t="str">
        <x:v>Highly distinctive because the circle is treated as a decorative object rather than a face, flower or animal</x:v>
      </x:c>
      <x:c r="T81" s="24" t="str">
        <x:v>Four internal colored motifs with yellow top tab</x:v>
      </x:c>
      <x:c r="U81" s="24" t="str">
        <x:v>Ask the child what the object is used for and add more symbols, patterns or a setting where it would appear</x:v>
      </x:c>
      <x:c r="V81" s="24"/>
      <x:c r="W81" s="24"/>
      <x:c r="X81" s="24" t="str">
        <x:v>unassigned</x:v>
      </x:c>
      <x:c r="Y81" s="24" t="n">
        <x:v>5</x:v>
      </x:c>
      <x:c r="Z81" s="24" t="n">
        <x:v>4</x:v>
      </x:c>
      <x:c r="AA81" s="24" t="n">
        <x:v>5</x:v>
      </x:c>
      <x:c r="AB81" s="24" t="n">
        <x:v>4</x:v>
      </x:c>
      <x:c r="AC81" s="24" t="n">
        <x:f>SUM(Y81:AB81)</x:f>
        <x:v>18</x:v>
      </x:c>
      <x:c r="AD81" s="25" t="n">
        <x:f>AVERAGE(Y81:AB81)</x:f>
        <x:v>4.5</x:v>
      </x:c>
      <x:c r="AE81" s="24" t="str">
        <x:f>IF(AD81&gt;=4.5,"Very High",IF(AD81&gt;=3.5,"High",IF(AD81&gt;=2.5,"Moderate",IF(AD81&gt;=1.5,"Developing","Low"))))</x:f>
        <x:v>Very High</x:v>
      </x:c>
      <x:c r="AF81" s="24" t="str">
        <x:v>Unusual decorative-object interpretation and multiple internal motifs support high originality and imagination.</x:v>
      </x:c>
      <x:c r="AG81" s="24" t="str">
        <x:v>PRELIMINARY_ONLY</x:v>
      </x:c>
      <x:c r="AH81" s="24" t="str">
        <x:v>Visual review; exact object identity is uncertain.</x:v>
      </x:c>
      <x:c r="AI81" s="24" t="str">
        <x:v>train</x:v>
      </x:c>
      <x:c r="AJ81" s="24"/>
      <x:c r="AK81" s="24"/>
      <x:c r="AL81" s="24"/>
      <x:c r="AM81" s="24"/>
      <x:c r="AN81" s="24"/>
      <x:c r="AO81" s="24" t="str">
        <x:v>descriptive_only_needs_human_scoring</x:v>
      </x:c>
      <x:c r="AP81" s="24" t="str">
        <x:f>IF(COUNT(AJ81:AM81)=4,"FINAL HUMAN-LABEL READY","PROTOTYPE ONLY - HUMAN VALIDATION REQUIRED")</x:f>
        <x:v>PROTOTYPE ONLY - HUMAN VALIDATION REQUIRED</x:v>
      </x:c>
    </x:row>
    <x:row r="82" ht="34" customHeight="1">
      <x:c r="A82" s="24" t="str">
        <x:v>S081</x:v>
      </x:c>
      <x:c r="B82" s="24" t="str">
        <x:v>PC01</x:v>
      </x:c>
      <x:c r="C82" s="24" t="str">
        <x:v>S081_PC01.jpeg</x:v>
      </x:c>
      <x:c r="D82" s="24" t="str">
        <x:v>images/picture_completion/S081_PC01.jpeg</x:v>
      </x:c>
      <x:c r="E82" s="24" t="str">
        <x:v>S081_PC01.jpeg</x:v>
      </x:c>
      <x:c r="F82" s="24" t="n">
        <x:v>960</x:v>
      </x:c>
      <x:c r="G82" s="24" t="n">
        <x:v>1280</x:v>
      </x:c>
      <x:c r="H82" s="25" t="n">
        <x:f>IF(G82=0,"",F82/G82)</x:f>
        <x:v>0.75</x:v>
      </x:c>
      <x:c r="I82" s="24" t="str">
        <x:v>portrait</x:v>
      </x:c>
      <x:c r="J82" s="26" t="n">
        <x:v>57.4</x:v>
      </x:c>
      <x:c r="K82" s="24" t="str">
        <x:v>Red sun-like circular form</x:v>
      </x:c>
      <x:c r="L82" s="24" t="str">
        <x:v>red; black/gray</x:v>
      </x:c>
      <x:c r="M82" s="24" t="str">
        <x:v>red</x:v>
      </x:c>
      <x:c r="N82" s="24" t="n">
        <x:v>2</x:v>
      </x:c>
      <x:c r="O82" s="24" t="str">
        <x:v>Circle is filled red and surrounded by many long red radial lines, forming a sun-like or radiant object</x:v>
      </x:c>
      <x:c r="P82" s="24" t="str">
        <x:v>sun/radiant object transformation</x:v>
      </x:c>
      <x:c r="Q82" s="24" t="str">
        <x:v>solid circular fill and many repeated radial lines</x:v>
      </x:c>
      <x:c r="R82" s="24" t="str">
        <x:v>One main idea with repeated structural elements</x:v>
      </x:c>
      <x:c r="S82" s="24" t="str">
        <x:v>Simple and clear transformation, but similar sun-like responses appear elsewhere in the dataset</x:v>
      </x:c>
      <x:c r="T82" s="24" t="str">
        <x:v>Red-dominant with dark outline</x:v>
      </x:c>
      <x:c r="U82" s="24" t="str">
        <x:v>Ask the child to add a sky, clouds, landscape, face, or story context around the sun-like object</x:v>
      </x:c>
      <x:c r="V82" s="24"/>
      <x:c r="W82" s="24"/>
      <x:c r="X82" s="24" t="str">
        <x:v>unassigned</x:v>
      </x:c>
      <x:c r="Y82" s="24" t="n">
        <x:v>2</x:v>
      </x:c>
      <x:c r="Z82" s="24" t="n">
        <x:v>3</x:v>
      </x:c>
      <x:c r="AA82" s="24" t="n">
        <x:v>2</x:v>
      </x:c>
      <x:c r="AB82" s="24" t="n">
        <x:v>2</x:v>
      </x:c>
      <x:c r="AC82" s="24" t="n">
        <x:f>SUM(Y82:AB82)</x:f>
        <x:v>9</x:v>
      </x:c>
      <x:c r="AD82" s="25" t="n">
        <x:f>AVERAGE(Y82:AB82)</x:f>
        <x:v>2.25</x:v>
      </x:c>
      <x:c r="AE82" s="24" t="str">
        <x:f>IF(AD82&gt;=4.5,"Very High",IF(AD82&gt;=3.5,"High",IF(AD82&gt;=2.5,"Moderate",IF(AD82&gt;=1.5,"Developing","Low"))))</x:f>
        <x:v>Developing</x:v>
      </x:c>
      <x:c r="AF82" s="24" t="str">
        <x:v>Clear transformation with repeated rays, but limited detail and idea variation reduce preliminary creativity scores.</x:v>
      </x:c>
      <x:c r="AG82" s="24" t="str">
        <x:v>PRELIMINARY_ONLY</x:v>
      </x:c>
      <x:c r="AH82" s="24" t="str">
        <x:v>Visual review of uploaded drawing; exact intended object should be confirmed with the child.</x:v>
      </x:c>
      <x:c r="AI82" s="24" t="str">
        <x:v>train</x:v>
      </x:c>
      <x:c r="AJ82" s="24"/>
      <x:c r="AK82" s="24"/>
      <x:c r="AL82" s="24"/>
      <x:c r="AM82" s="24"/>
      <x:c r="AN82" s="24"/>
      <x:c r="AO82" s="24" t="str">
        <x:v>descriptive_only_needs_human_scoring</x:v>
      </x:c>
      <x:c r="AP82" s="24" t="str">
        <x:f>IF(COUNT(AJ82:AM82)=4,"FINAL HUMAN-LABEL READY","PROTOTYPE ONLY - HUMAN VALIDATION REQUIRED")</x:f>
        <x:v>PROTOTYPE ONLY - HUMAN VALIDATION REQUIRED</x:v>
      </x:c>
    </x:row>
    <x:row r="83" ht="34" customHeight="1">
      <x:c r="A83" s="24" t="str">
        <x:v>S082</x:v>
      </x:c>
      <x:c r="B83" s="24" t="str">
        <x:v>PC01</x:v>
      </x:c>
      <x:c r="C83" s="24" t="str">
        <x:v>S082_PC01.jpeg</x:v>
      </x:c>
      <x:c r="D83" s="24" t="str">
        <x:v>images/picture_completion/S082_PC01.jpeg</x:v>
      </x:c>
      <x:c r="E83" s="24" t="str">
        <x:v>S082_PC01.jpeg</x:v>
      </x:c>
      <x:c r="F83" s="24" t="n">
        <x:v>960</x:v>
      </x:c>
      <x:c r="G83" s="24" t="n">
        <x:v>1280</x:v>
      </x:c>
      <x:c r="H83" s="25" t="n">
        <x:f>IF(G83=0,"",F83/G83)</x:f>
        <x:v>0.75</x:v>
      </x:c>
      <x:c r="I83" s="24" t="str">
        <x:v>portrait</x:v>
      </x:c>
      <x:c r="J83" s="26" t="n">
        <x:v>46.7</x:v>
      </x:c>
      <x:c r="K83" s="24" t="str">
        <x:v>Green leaf/plant-like object with small top element</x:v>
      </x:c>
      <x:c r="L83" s="24" t="str">
        <x:v>green; brown; red; black/gray</x:v>
      </x:c>
      <x:c r="M83" s="24" t="str">
        <x:v>green</x:v>
      </x:c>
      <x:c r="N83" s="24" t="n">
        <x:v>4</x:v>
      </x:c>
      <x:c r="O83" s="24" t="str">
        <x:v>Inside the circle is a green leaf- or plant-like form with a pointed upper section, brown band and a small red-brown top element</x:v>
      </x:c>
      <x:c r="P83" s="24" t="str">
        <x:v>plant/object transformation</x:v>
      </x:c>
      <x:c r="Q83" s="24" t="str">
        <x:v>large green tapered form, band, small top object and base detail</x:v>
      </x:c>
      <x:c r="R83" s="24" t="str">
        <x:v>One main idea with several structural parts</x:v>
      </x:c>
      <x:c r="S83" s="24" t="str">
        <x:v>Distinctive because the response is an unusual plant/object form rather than a common face, flower or sun</x:v>
      </x:c>
      <x:c r="T83" s="24" t="str">
        <x:v>Green-dominant with brown and red accents</x:v>
      </x:c>
      <x:c r="U83" s="24" t="str">
        <x:v>Ask the child to explain what the object is, where it belongs and add related surroundings or function details</x:v>
      </x:c>
      <x:c r="V83" s="24"/>
      <x:c r="W83" s="24"/>
      <x:c r="X83" s="24" t="str">
        <x:v>unassigned</x:v>
      </x:c>
      <x:c r="Y83" s="24" t="n">
        <x:v>5</x:v>
      </x:c>
      <x:c r="Z83" s="24" t="n">
        <x:v>3</x:v>
      </x:c>
      <x:c r="AA83" s="24" t="n">
        <x:v>4</x:v>
      </x:c>
      <x:c r="AB83" s="24" t="n">
        <x:v>3</x:v>
      </x:c>
      <x:c r="AC83" s="24" t="n">
        <x:f>SUM(Y83:AB83)</x:f>
        <x:v>15</x:v>
      </x:c>
      <x:c r="AD83" s="25" t="n">
        <x:f>AVERAGE(Y83:AB83)</x:f>
        <x:v>3.75</x:v>
      </x:c>
      <x:c r="AE83" s="24" t="str">
        <x:f>IF(AD83&gt;=4.5,"Very High",IF(AD83&gt;=3.5,"High",IF(AD83&gt;=2.5,"Moderate",IF(AD83&gt;=1.5,"Developing","Low"))))</x:f>
        <x:v>High</x:v>
      </x:c>
      <x:c r="AF83" s="24" t="str">
        <x:v>Uncommon interpretation supports originality, while moderate visible detail limits elaboration.</x:v>
      </x:c>
      <x:c r="AG83" s="24" t="str">
        <x:v>PRELIMINARY_ONLY</x:v>
      </x:c>
      <x:c r="AH83" s="24" t="str">
        <x:v>Visual review; exact object identity is uncertain and should be confirmed with the child.</x:v>
      </x:c>
      <x:c r="AI83" s="24" t="str">
        <x:v>test</x:v>
      </x:c>
      <x:c r="AJ83" s="24"/>
      <x:c r="AK83" s="24"/>
      <x:c r="AL83" s="24"/>
      <x:c r="AM83" s="24"/>
      <x:c r="AN83" s="24"/>
      <x:c r="AO83" s="24" t="str">
        <x:v>descriptive_only_needs_human_scoring</x:v>
      </x:c>
      <x:c r="AP83" s="24" t="str">
        <x:f>IF(COUNT(AJ83:AM83)=4,"FINAL HUMAN-LABEL READY","PROTOTYPE ONLY - HUMAN VALIDATION REQUIRED")</x:f>
        <x:v>PROTOTYPE ONLY - HUMAN VALIDATION REQUIRED</x:v>
      </x:c>
    </x:row>
    <x:row r="84" ht="34" customHeight="1">
      <x:c r="A84" s="24" t="str">
        <x:v>S083</x:v>
      </x:c>
      <x:c r="B84" s="24" t="str">
        <x:v>PC01</x:v>
      </x:c>
      <x:c r="C84" s="24" t="str">
        <x:v>S083_PC01.jpeg</x:v>
      </x:c>
      <x:c r="D84" s="24" t="str">
        <x:v>images/picture_completion/S083_PC01.jpeg</x:v>
      </x:c>
      <x:c r="E84" s="24" t="str">
        <x:v>S083_PC01.jpeg</x:v>
      </x:c>
      <x:c r="F84" s="24" t="n">
        <x:v>960</x:v>
      </x:c>
      <x:c r="G84" s="24" t="n">
        <x:v>1280</x:v>
      </x:c>
      <x:c r="H84" s="25" t="n">
        <x:f>IF(G84=0,"",F84/G84)</x:f>
        <x:v>0.75</x:v>
      </x:c>
      <x:c r="I84" s="24" t="str">
        <x:v>portrait</x:v>
      </x:c>
      <x:c r="J84" s="26" t="n">
        <x:v>64.7</x:v>
      </x:c>
      <x:c r="K84" s="24" t="str">
        <x:v>Bird/animal character with rainbow-like tail</x:v>
      </x:c>
      <x:c r="L84" s="24" t="str">
        <x:v>brown; red; pink; yellow; black/gray</x:v>
      </x:c>
      <x:c r="M84" s="24" t="str">
        <x:v>brown; red</x:v>
      </x:c>
      <x:c r="N84" s="24" t="n">
        <x:v>5</x:v>
      </x:c>
      <x:c r="O84" s="24" t="str">
        <x:v>Circle becomes the body/head of a bird-like creature with red crest, yellow beak/wing-like section and a large rainbow-like layered tail at the side</x:v>
      </x:c>
      <x:c r="P84" s="24" t="str">
        <x:v>animal-character transformation</x:v>
      </x:c>
      <x:c r="Q84" s="24" t="str">
        <x:v>eye, crest, beak/wing, layered tail and multiple color regions</x:v>
      </x:c>
      <x:c r="R84" s="24" t="str">
        <x:v>One main idea with several coordinated body parts</x:v>
      </x:c>
      <x:c r="S84" s="24" t="str">
        <x:v>Highly distinctive because the circle is developed into a bird-like character with a decorative multicolored tail</x:v>
      </x:c>
      <x:c r="T84" s="24" t="str">
        <x:v>Brown body with red, pink and yellow appendages</x:v>
      </x:c>
      <x:c r="U84" s="24" t="str">
        <x:v>Ask the child to name the bird, explain its habitat and add sky, nest, food or another bird</x:v>
      </x:c>
      <x:c r="V84" s="24"/>
      <x:c r="W84" s="24"/>
      <x:c r="X84" s="24" t="str">
        <x:v>unassigned</x:v>
      </x:c>
      <x:c r="Y84" s="24" t="n">
        <x:v>5</x:v>
      </x:c>
      <x:c r="Z84" s="24" t="n">
        <x:v>4</x:v>
      </x:c>
      <x:c r="AA84" s="24" t="n">
        <x:v>5</x:v>
      </x:c>
      <x:c r="AB84" s="24" t="n">
        <x:v>4</x:v>
      </x:c>
      <x:c r="AC84" s="24" t="n">
        <x:f>SUM(Y84:AB84)</x:f>
        <x:v>18</x:v>
      </x:c>
      <x:c r="AD84" s="25" t="n">
        <x:f>AVERAGE(Y84:AB84)</x:f>
        <x:v>4.5</x:v>
      </x:c>
      <x:c r="AE84" s="24" t="str">
        <x:f>IF(AD84&gt;=4.5,"Very High",IF(AD84&gt;=3.5,"High",IF(AD84&gt;=2.5,"Moderate",IF(AD84&gt;=1.5,"Developing","Low"))))</x:f>
        <x:v>Very High</x:v>
      </x:c>
      <x:c r="AF84" s="24" t="str">
        <x:v>Strong transformation and decorative tail support high originality and imagination.</x:v>
      </x:c>
      <x:c r="AG84" s="24" t="str">
        <x:v>PRELIMINARY_ONLY</x:v>
      </x:c>
      <x:c r="AH84" s="24" t="str">
        <x:v>Visual review; exact animal identity should be confirmed with the child.</x:v>
      </x:c>
      <x:c r="AI84" s="24" t="str">
        <x:v>train</x:v>
      </x:c>
      <x:c r="AJ84" s="24"/>
      <x:c r="AK84" s="24"/>
      <x:c r="AL84" s="24"/>
      <x:c r="AM84" s="24"/>
      <x:c r="AN84" s="24"/>
      <x:c r="AO84" s="24" t="str">
        <x:v>descriptive_only_needs_human_scoring</x:v>
      </x:c>
      <x:c r="AP84" s="24" t="str">
        <x:f>IF(COUNT(AJ84:AM84)=4,"FINAL HUMAN-LABEL READY","PROTOTYPE ONLY - HUMAN VALIDATION REQUIRED")</x:f>
        <x:v>PROTOTYPE ONLY - HUMAN VALIDATION REQUIRED</x:v>
      </x:c>
    </x:row>
    <x:row r="85" ht="34" customHeight="1">
      <x:c r="A85" s="24" t="str">
        <x:v>S084</x:v>
      </x:c>
      <x:c r="B85" s="24" t="str">
        <x:v>PC01</x:v>
      </x:c>
      <x:c r="C85" s="24" t="str">
        <x:v>S084_PC01.jpeg</x:v>
      </x:c>
      <x:c r="D85" s="24" t="str">
        <x:v>images/picture_completion/S084_PC01.jpeg</x:v>
      </x:c>
      <x:c r="E85" s="24" t="str">
        <x:v>S084_PC01.jpeg</x:v>
      </x:c>
      <x:c r="F85" s="24" t="n">
        <x:v>960</x:v>
      </x:c>
      <x:c r="G85" s="24" t="n">
        <x:v>1280</x:v>
      </x:c>
      <x:c r="H85" s="25" t="n">
        <x:f>IF(G85=0,"",F85/G85)</x:f>
        <x:v>0.75</x:v>
      </x:c>
      <x:c r="I85" s="24" t="str">
        <x:v>portrait</x:v>
      </x:c>
      <x:c r="J85" s="26" t="n">
        <x:v>43.2</x:v>
      </x:c>
      <x:c r="K85" s="24" t="str">
        <x:v>Small pink animal/bird inside circle</x:v>
      </x:c>
      <x:c r="L85" s="24" t="str">
        <x:v>pink; red; black/gray</x:v>
      </x:c>
      <x:c r="M85" s="24" t="str">
        <x:v>pink</x:v>
      </x:c>
      <x:c r="N85" s="24" t="n">
        <x:v>3</x:v>
      </x:c>
      <x:c r="O85" s="24" t="str">
        <x:v>A small pink animal- or bird-like figure is drawn inside the circle with round body, smaller head and red facial/appendage details</x:v>
      </x:c>
      <x:c r="P85" s="24" t="str">
        <x:v>small animal transformation</x:v>
      </x:c>
      <x:c r="Q85" s="24" t="str">
        <x:v>round body, head, beak/face area and small body extensions</x:v>
      </x:c>
      <x:c r="R85" s="24" t="str">
        <x:v>One main idea with a few coordinated parts</x:v>
      </x:c>
      <x:c r="S85" s="24" t="str">
        <x:v>Distinctive because the child places a small complete creature inside the circle instead of using the whole circle as the body</x:v>
      </x:c>
      <x:c r="T85" s="24" t="str">
        <x:v>Pink-dominant with red accent</x:v>
      </x:c>
      <x:c r="U85" s="24" t="str">
        <x:v>Ask the child to enlarge the scene by adding habitat, movement, food or another character</x:v>
      </x:c>
      <x:c r="V85" s="24"/>
      <x:c r="W85" s="24"/>
      <x:c r="X85" s="24" t="str">
        <x:v>unassigned</x:v>
      </x:c>
      <x:c r="Y85" s="24" t="n">
        <x:v>4</x:v>
      </x:c>
      <x:c r="Z85" s="24" t="n">
        <x:v>3</x:v>
      </x:c>
      <x:c r="AA85" s="24" t="n">
        <x:v>4</x:v>
      </x:c>
      <x:c r="AB85" s="24" t="n">
        <x:v>3</x:v>
      </x:c>
      <x:c r="AC85" s="24" t="n">
        <x:f>SUM(Y85:AB85)</x:f>
        <x:v>14</x:v>
      </x:c>
      <x:c r="AD85" s="25" t="n">
        <x:f>AVERAGE(Y85:AB85)</x:f>
        <x:v>3.5</x:v>
      </x:c>
      <x:c r="AE85" s="24" t="str">
        <x:f>IF(AD85&gt;=4.5,"Very High",IF(AD85&gt;=3.5,"High",IF(AD85&gt;=2.5,"Moderate",IF(AD85&gt;=1.5,"Developing","Low"))))</x:f>
        <x:v>High</x:v>
      </x:c>
      <x:c r="AF85" s="24" t="str">
        <x:v>Interesting placement of a small creature inside the circle gives good originality, but detail level is moderate.</x:v>
      </x:c>
      <x:c r="AG85" s="24" t="str">
        <x:v>PRELIMINARY_ONLY</x:v>
      </x:c>
      <x:c r="AH85" s="24" t="str">
        <x:v>Visual review; exact creature identity is uncertain.</x:v>
      </x:c>
      <x:c r="AI85" s="24" t="str">
        <x:v>validation</x:v>
      </x:c>
      <x:c r="AJ85" s="24"/>
      <x:c r="AK85" s="24"/>
      <x:c r="AL85" s="24"/>
      <x:c r="AM85" s="24"/>
      <x:c r="AN85" s="24"/>
      <x:c r="AO85" s="24" t="str">
        <x:v>descriptive_only_needs_human_scoring</x:v>
      </x:c>
      <x:c r="AP85" s="24" t="str">
        <x:f>IF(COUNT(AJ85:AM85)=4,"FINAL HUMAN-LABEL READY","PROTOTYPE ONLY - HUMAN VALIDATION REQUIRED")</x:f>
        <x:v>PROTOTYPE ONLY - HUMAN VALIDATION REQUIRED</x:v>
      </x:c>
    </x:row>
    <x:row r="86" ht="34" customHeight="1">
      <x:c r="A86" s="24" t="str">
        <x:v>S085</x:v>
      </x:c>
      <x:c r="B86" s="24" t="str">
        <x:v>PC01</x:v>
      </x:c>
      <x:c r="C86" s="24" t="str">
        <x:v>S085_PC01.jpeg</x:v>
      </x:c>
      <x:c r="D86" s="24" t="str">
        <x:v>images/picture_completion/S085_PC01.jpeg</x:v>
      </x:c>
      <x:c r="E86" s="24" t="str">
        <x:v>S085_PC01.jpeg</x:v>
      </x:c>
      <x:c r="F86" s="24" t="n">
        <x:v>960</x:v>
      </x:c>
      <x:c r="G86" s="24" t="n">
        <x:v>1280</x:v>
      </x:c>
      <x:c r="H86" s="25" t="n">
        <x:f>IF(G86=0,"",F86/G86)</x:f>
        <x:v>0.75</x:v>
      </x:c>
      <x:c r="I86" s="24" t="str">
        <x:v>portrait</x:v>
      </x:c>
      <x:c r="J86" s="26" t="n">
        <x:v>53.7</x:v>
      </x:c>
      <x:c r="K86" s="24" t="str">
        <x:v>Orange circular landscape/tree scene</x:v>
      </x:c>
      <x:c r="L86" s="24" t="str">
        <x:v>orange; green; brown; black/gray</x:v>
      </x:c>
      <x:c r="M86" s="24" t="str">
        <x:v>orange</x:v>
      </x:c>
      <x:c r="N86" s="24" t="n">
        <x:v>3</x:v>
      </x:c>
      <x:c r="O86" s="24" t="str">
        <x:v>Circle is filled orange and contains a small green tree-like form with brown trunk plus many repeated black curved marks across the scene</x:v>
      </x:c>
      <x:c r="P86" s="24" t="str">
        <x:v>landscape/pattern scene transformation</x:v>
      </x:c>
      <x:c r="Q86" s="24" t="str">
        <x:v>tree, trunk, repeated curved marks and full circular background fill</x:v>
      </x:c>
      <x:c r="R86" s="24" t="str">
        <x:v>One main scene with repeated pattern elements</x:v>
      </x:c>
      <x:c r="S86" s="24" t="str">
        <x:v>Distinctive because the circle is treated as an enclosed landscape or textured environment</x:v>
      </x:c>
      <x:c r="T86" s="24" t="str">
        <x:v>Orange-dominant with green-brown tree</x:v>
      </x:c>
      <x:c r="U86" s="24" t="str">
        <x:v>Ask the child what the repeated marks represent and add animals, path, sky or another environmental feature</x:v>
      </x:c>
      <x:c r="V86" s="24"/>
      <x:c r="W86" s="24"/>
      <x:c r="X86" s="24" t="str">
        <x:v>unassigned</x:v>
      </x:c>
      <x:c r="Y86" s="24" t="n">
        <x:v>4</x:v>
      </x:c>
      <x:c r="Z86" s="24" t="n">
        <x:v>4</x:v>
      </x:c>
      <x:c r="AA86" s="24" t="n">
        <x:v>4</x:v>
      </x:c>
      <x:c r="AB86" s="24" t="n">
        <x:v>3</x:v>
      </x:c>
      <x:c r="AC86" s="24" t="n">
        <x:f>SUM(Y86:AB86)</x:f>
        <x:v>15</x:v>
      </x:c>
      <x:c r="AD86" s="25" t="n">
        <x:f>AVERAGE(Y86:AB86)</x:f>
        <x:v>3.75</x:v>
      </x:c>
      <x:c r="AE86" s="24" t="str">
        <x:f>IF(AD86&gt;=4.5,"Very High",IF(AD86&gt;=3.5,"High",IF(AD86&gt;=2.5,"Moderate",IF(AD86&gt;=1.5,"Developing","Low"))))</x:f>
        <x:v>High</x:v>
      </x:c>
      <x:c r="AF86" s="24" t="str">
        <x:v>The enclosed scene and repeated visual pattern show good elaboration and a moderately original interpretation.</x:v>
      </x:c>
      <x:c r="AG86" s="24" t="str">
        <x:v>PRELIMINARY_ONLY</x:v>
      </x:c>
      <x:c r="AH86" s="24" t="str">
        <x:v>Visual review; meaning of repeated marks should be confirmed with the child.</x:v>
      </x:c>
      <x:c r="AI86" s="24" t="str">
        <x:v>train</x:v>
      </x:c>
      <x:c r="AJ86" s="24"/>
      <x:c r="AK86" s="24"/>
      <x:c r="AL86" s="24"/>
      <x:c r="AM86" s="24"/>
      <x:c r="AN86" s="24"/>
      <x:c r="AO86" s="24" t="str">
        <x:v>descriptive_only_needs_human_scoring</x:v>
      </x:c>
      <x:c r="AP86" s="24" t="str">
        <x:f>IF(COUNT(AJ86:AM86)=4,"FINAL HUMAN-LABEL READY","PROTOTYPE ONLY - HUMAN VALIDATION REQUIRED")</x:f>
        <x:v>PROTOTYPE ONLY - HUMAN VALIDATION REQUIRED</x:v>
      </x:c>
    </x:row>
    <x:row r="87" ht="34" customHeight="1">
      <x:c r="A87" s="24" t="str">
        <x:v>S086</x:v>
      </x:c>
      <x:c r="B87" s="24" t="str">
        <x:v>PC01</x:v>
      </x:c>
      <x:c r="C87" s="24" t="str">
        <x:v>S086_PC01.jpeg</x:v>
      </x:c>
      <x:c r="D87" s="24" t="str">
        <x:v>images/picture_completion/S086_PC01.jpeg</x:v>
      </x:c>
      <x:c r="E87" s="24" t="str">
        <x:v>S086_PC01.jpeg</x:v>
      </x:c>
      <x:c r="F87" s="24" t="n">
        <x:v>960</x:v>
      </x:c>
      <x:c r="G87" s="24" t="n">
        <x:v>1280</x:v>
      </x:c>
      <x:c r="H87" s="25" t="n">
        <x:f>IF(G87=0,"",F87/G87)</x:f>
        <x:v>0.75</x:v>
      </x:c>
      <x:c r="I87" s="24" t="str">
        <x:v>portrait</x:v>
      </x:c>
      <x:c r="J87" s="26" t="n">
        <x:v>45.2</x:v>
      </x:c>
      <x:c r="K87" s="24" t="str">
        <x:v>Two people in a sky/cloud scene</x:v>
      </x:c>
      <x:c r="L87" s="24" t="str">
        <x:v>purple; green; brown; blue; black/gray</x:v>
      </x:c>
      <x:c r="M87" s="24" t="str">
        <x:v>purple; green</x:v>
      </x:c>
      <x:c r="N87" s="24" t="n">
        <x:v>5</x:v>
      </x:c>
      <x:c r="O87" s="24" t="str">
        <x:v>Circle contains two human figures, one in purple and one in green, together with blue cloud-like forms and a small central circular element</x:v>
      </x:c>
      <x:c r="P87" s="24" t="str">
        <x:v>multi-character scene transformation</x:v>
      </x:c>
      <x:c r="Q87" s="24" t="str">
        <x:v>two people, separate clothing colors, cloud-like forms and central object</x:v>
      </x:c>
      <x:c r="R87" s="24" t="str">
        <x:v>Multiple coordinated idea elements</x:v>
      </x:c>
      <x:c r="S87" s="24" t="str">
        <x:v>Highly distinctive because the circle contains a multi-person scene rather than a single object or face</x:v>
      </x:c>
      <x:c r="T87" s="24" t="str">
        <x:v>Purple and green figures with blue environmental details</x:v>
      </x:c>
      <x:c r="U87" s="24" t="str">
        <x:v>Ask the child who the two people are, what they are doing and add a place or event around them</x:v>
      </x:c>
      <x:c r="V87" s="24"/>
      <x:c r="W87" s="24"/>
      <x:c r="X87" s="24" t="str">
        <x:v>unassigned</x:v>
      </x:c>
      <x:c r="Y87" s="24" t="n">
        <x:v>5</x:v>
      </x:c>
      <x:c r="Z87" s="24" t="n">
        <x:v>4</x:v>
      </x:c>
      <x:c r="AA87" s="24" t="n">
        <x:v>5</x:v>
      </x:c>
      <x:c r="AB87" s="24" t="n">
        <x:v>5</x:v>
      </x:c>
      <x:c r="AC87" s="24" t="n">
        <x:f>SUM(Y87:AB87)</x:f>
        <x:v>19</x:v>
      </x:c>
      <x:c r="AD87" s="25" t="n">
        <x:f>AVERAGE(Y87:AB87)</x:f>
        <x:v>4.75</x:v>
      </x:c>
      <x:c r="AE87" s="24" t="str">
        <x:f>IF(AD87&gt;=4.5,"Very High",IF(AD87&gt;=3.5,"High",IF(AD87&gt;=2.5,"Moderate",IF(AD87&gt;=1.5,"Developing","Low"))))</x:f>
        <x:v>Very High</x:v>
      </x:c>
      <x:c r="AF87" s="24" t="str">
        <x:v>Multiple characters and contextual elements indicate strong idea variety, imagination and originality.</x:v>
      </x:c>
      <x:c r="AG87" s="24" t="str">
        <x:v>PRELIMINARY_ONLY</x:v>
      </x:c>
      <x:c r="AH87" s="24" t="str">
        <x:v>Visual review; exact story context should be confirmed with the child.</x:v>
      </x:c>
      <x:c r="AI87" s="24" t="str">
        <x:v>train</x:v>
      </x:c>
      <x:c r="AJ87" s="24"/>
      <x:c r="AK87" s="24"/>
      <x:c r="AL87" s="24"/>
      <x:c r="AM87" s="24"/>
      <x:c r="AN87" s="24"/>
      <x:c r="AO87" s="24" t="str">
        <x:v>descriptive_only_needs_human_scoring</x:v>
      </x:c>
      <x:c r="AP87" s="24" t="str">
        <x:f>IF(COUNT(AJ87:AM87)=4,"FINAL HUMAN-LABEL READY","PROTOTYPE ONLY - HUMAN VALIDATION REQUIRED")</x:f>
        <x:v>PROTOTYPE ONLY - HUMAN VALIDATION REQUIRED</x:v>
      </x:c>
    </x:row>
    <x:row r="88" ht="34" customHeight="1">
      <x:c r="A88" s="24" t="str">
        <x:v>S087</x:v>
      </x:c>
      <x:c r="B88" s="24" t="str">
        <x:v>PC01</x:v>
      </x:c>
      <x:c r="C88" s="24" t="str">
        <x:v>S087_PC01.jpeg</x:v>
      </x:c>
      <x:c r="D88" s="24" t="str">
        <x:v>images/picture_completion/S087_PC01.jpeg</x:v>
      </x:c>
      <x:c r="E88" s="24" t="str">
        <x:v>S087_PC01.jpeg</x:v>
      </x:c>
      <x:c r="F88" s="24" t="n">
        <x:v>960</x:v>
      </x:c>
      <x:c r="G88" s="24" t="n">
        <x:v>1280</x:v>
      </x:c>
      <x:c r="H88" s="25" t="n">
        <x:f>IF(G88=0,"",F88/G88)</x:f>
        <x:v>0.75</x:v>
      </x:c>
      <x:c r="I88" s="24" t="str">
        <x:v>portrait</x:v>
      </x:c>
      <x:c r="J88" s="26" t="n">
        <x:v>44.5</x:v>
      </x:c>
      <x:c r="K88" s="24" t="str">
        <x:v>Green vehicle/tractor-like object with sky elements</x:v>
      </x:c>
      <x:c r="L88" s="24" t="str">
        <x:v>green; blue; orange; black/gray</x:v>
      </x:c>
      <x:c r="M88" s="24" t="str">
        <x:v>green</x:v>
      </x:c>
      <x:c r="N88" s="24" t="n">
        <x:v>4</x:v>
      </x:c>
      <x:c r="O88" s="24" t="str">
        <x:v>Circle contains a green vehicle- or tractor-like object with several circular wheel-like details; blue cloud forms and an orange sun-like object appear nearby</x:v>
      </x:c>
      <x:c r="P88" s="24" t="str">
        <x:v>vehicle scene transformation</x:v>
      </x:c>
      <x:c r="Q88" s="24" t="str">
        <x:v>vehicle body, multiple circular wheel details, sky/cloud forms and sun</x:v>
      </x:c>
      <x:c r="R88" s="24" t="str">
        <x:v>Multiple coordinated idea elements</x:v>
      </x:c>
      <x:c r="S88" s="24" t="str">
        <x:v>Distinctive vehicle-based scene with environmental context</x:v>
      </x:c>
      <x:c r="T88" s="24" t="str">
        <x:v>Green vehicle with blue and orange scene elements</x:v>
      </x:c>
      <x:c r="U88" s="24" t="str">
        <x:v>Ask the child where the vehicle is going, what it is carrying and add a road, driver or destination</x:v>
      </x:c>
      <x:c r="V88" s="24"/>
      <x:c r="W88" s="24"/>
      <x:c r="X88" s="24" t="str">
        <x:v>unassigned</x:v>
      </x:c>
      <x:c r="Y88" s="24" t="n">
        <x:v>5</x:v>
      </x:c>
      <x:c r="Z88" s="24" t="n">
        <x:v>4</x:v>
      </x:c>
      <x:c r="AA88" s="24" t="n">
        <x:v>5</x:v>
      </x:c>
      <x:c r="AB88" s="24" t="n">
        <x:v>4</x:v>
      </x:c>
      <x:c r="AC88" s="24" t="n">
        <x:f>SUM(Y88:AB88)</x:f>
        <x:v>18</x:v>
      </x:c>
      <x:c r="AD88" s="25" t="n">
        <x:f>AVERAGE(Y88:AB88)</x:f>
        <x:v>4.5</x:v>
      </x:c>
      <x:c r="AE88" s="24" t="str">
        <x:f>IF(AD88&gt;=4.5,"Very High",IF(AD88&gt;=3.5,"High",IF(AD88&gt;=2.5,"Moderate",IF(AD88&gt;=1.5,"Developing","Low"))))</x:f>
        <x:v>Very High</x:v>
      </x:c>
      <x:c r="AF88" s="24" t="str">
        <x:v>Strong non-face transformation with multiple related scene elements supports high preliminary creativity.</x:v>
      </x:c>
      <x:c r="AG88" s="24" t="str">
        <x:v>PRELIMINARY_ONLY</x:v>
      </x:c>
      <x:c r="AH88" s="24" t="str">
        <x:v>Visual review; exact vehicle type is uncertain.</x:v>
      </x:c>
      <x:c r="AI88" s="24" t="str">
        <x:v>test</x:v>
      </x:c>
      <x:c r="AJ88" s="24"/>
      <x:c r="AK88" s="24"/>
      <x:c r="AL88" s="24"/>
      <x:c r="AM88" s="24"/>
      <x:c r="AN88" s="24"/>
      <x:c r="AO88" s="24" t="str">
        <x:v>descriptive_only_needs_human_scoring</x:v>
      </x:c>
      <x:c r="AP88" s="24" t="str">
        <x:f>IF(COUNT(AJ88:AM88)=4,"FINAL HUMAN-LABEL READY","PROTOTYPE ONLY - HUMAN VALIDATION REQUIRED")</x:f>
        <x:v>PROTOTYPE ONLY - HUMAN VALIDATION REQUIRED</x:v>
      </x:c>
    </x:row>
    <x:row r="89" ht="34" customHeight="1">
      <x:c r="A89" s="24" t="str">
        <x:v>S088</x:v>
      </x:c>
      <x:c r="B89" s="24" t="str">
        <x:v>PC01</x:v>
      </x:c>
      <x:c r="C89" s="24" t="str">
        <x:v>S088_PC01.jpeg</x:v>
      </x:c>
      <x:c r="D89" s="24" t="str">
        <x:v>images/picture_completion/S088_PC01.jpeg</x:v>
      </x:c>
      <x:c r="E89" s="24" t="str">
        <x:v>S088_PC01.jpeg</x:v>
      </x:c>
      <x:c r="F89" s="24" t="n">
        <x:v>960</x:v>
      </x:c>
      <x:c r="G89" s="24" t="n">
        <x:v>1280</x:v>
      </x:c>
      <x:c r="H89" s="25" t="n">
        <x:f>IF(G89=0,"",F89/G89)</x:f>
        <x:v>0.75</x:v>
      </x:c>
      <x:c r="I89" s="24" t="str">
        <x:v>portrait</x:v>
      </x:c>
      <x:c r="J89" s="26" t="n">
        <x:v>51.6</x:v>
      </x:c>
      <x:c r="K89" s="24" t="str">
        <x:v>Orange landscape with tree</x:v>
      </x:c>
      <x:c r="L89" s="24" t="str">
        <x:v>orange; green; brown; black/gray</x:v>
      </x:c>
      <x:c r="M89" s="24" t="str">
        <x:v>orange</x:v>
      </x:c>
      <x:c r="N89" s="24" t="n">
        <x:v>3</x:v>
      </x:c>
      <x:c r="O89" s="24" t="str">
        <x:v>Circle is filled orange with a green tree and brown trunk; several black curved cloud-like or texture marks are distributed around the scene</x:v>
      </x:c>
      <x:c r="P89" s="24" t="str">
        <x:v>landscape scene transformation</x:v>
      </x:c>
      <x:c r="Q89" s="24" t="str">
        <x:v>tree, trunk, repeated environmental marks and full background fill</x:v>
      </x:c>
      <x:c r="R89" s="24" t="str">
        <x:v>One main scene with repeated decorative elements</x:v>
      </x:c>
      <x:c r="S89" s="24" t="str">
        <x:v>Similar to another orange landscape response, so originality is moderate, but scene treatment is clear</x:v>
      </x:c>
      <x:c r="T89" s="24" t="str">
        <x:v>Orange-dominant with green tree and brown trunk</x:v>
      </x:c>
      <x:c r="U89" s="24" t="str">
        <x:v>Ask the child to add animals, road, house, weather or another tree to create a fuller environment</x:v>
      </x:c>
      <x:c r="V89" s="24"/>
      <x:c r="W89" s="24"/>
      <x:c r="X89" s="24" t="str">
        <x:v>unassigned</x:v>
      </x:c>
      <x:c r="Y89" s="24" t="n">
        <x:v>3</x:v>
      </x:c>
      <x:c r="Z89" s="24" t="n">
        <x:v>4</x:v>
      </x:c>
      <x:c r="AA89" s="24" t="n">
        <x:v>4</x:v>
      </x:c>
      <x:c r="AB89" s="24" t="n">
        <x:v>3</x:v>
      </x:c>
      <x:c r="AC89" s="24" t="n">
        <x:f>SUM(Y89:AB89)</x:f>
        <x:v>14</x:v>
      </x:c>
      <x:c r="AD89" s="25" t="n">
        <x:f>AVERAGE(Y89:AB89)</x:f>
        <x:v>3.5</x:v>
      </x:c>
      <x:c r="AE89" s="24" t="str">
        <x:f>IF(AD89&gt;=4.5,"Very High",IF(AD89&gt;=3.5,"High",IF(AD89&gt;=2.5,"Moderate",IF(AD89&gt;=1.5,"Developing","Low"))))</x:f>
        <x:v>High</x:v>
      </x:c>
      <x:c r="AF89" s="24" t="str">
        <x:v>Good scene construction and patterning, though similarity to another response lowers preliminary originality.</x:v>
      </x:c>
      <x:c r="AG89" s="24" t="str">
        <x:v>PRELIMINARY_ONLY</x:v>
      </x:c>
      <x:c r="AH89" s="24" t="str">
        <x:v>Visual review; exact meaning of black curved marks is uncertain.</x:v>
      </x:c>
      <x:c r="AI89" s="24" t="str">
        <x:v>train</x:v>
      </x:c>
      <x:c r="AJ89" s="24"/>
      <x:c r="AK89" s="24"/>
      <x:c r="AL89" s="24"/>
      <x:c r="AM89" s="24"/>
      <x:c r="AN89" s="24"/>
      <x:c r="AO89" s="24" t="str">
        <x:v>descriptive_only_needs_human_scoring</x:v>
      </x:c>
      <x:c r="AP89" s="24" t="str">
        <x:f>IF(COUNT(AJ89:AM89)=4,"FINAL HUMAN-LABEL READY","PROTOTYPE ONLY - HUMAN VALIDATION REQUIRED")</x:f>
        <x:v>PROTOTYPE ONLY - HUMAN VALIDATION REQUIRED</x:v>
      </x:c>
    </x:row>
    <x:row r="90" ht="34" customHeight="1">
      <x:c r="A90" s="24" t="str">
        <x:v>S089</x:v>
      </x:c>
      <x:c r="B90" s="24" t="str">
        <x:v>PC01</x:v>
      </x:c>
      <x:c r="C90" s="24" t="str">
        <x:v>S089_PC01.jpeg</x:v>
      </x:c>
      <x:c r="D90" s="24" t="str">
        <x:v>images/picture_completion/S089_PC01.jpeg</x:v>
      </x:c>
      <x:c r="E90" s="24" t="str">
        <x:v>S089_PC01.jpeg</x:v>
      </x:c>
      <x:c r="F90" s="24" t="n">
        <x:v>960</x:v>
      </x:c>
      <x:c r="G90" s="24" t="n">
        <x:v>1280</x:v>
      </x:c>
      <x:c r="H90" s="25" t="n">
        <x:f>IF(G90=0,"",F90/G90)</x:f>
        <x:v>0.75</x:v>
      </x:c>
      <x:c r="I90" s="24" t="str">
        <x:v>portrait</x:v>
      </x:c>
      <x:c r="J90" s="26" t="n">
        <x:v>43.2</x:v>
      </x:c>
      <x:c r="K90" s="24" t="str">
        <x:v>Small character/object under blue band</x:v>
      </x:c>
      <x:c r="L90" s="24" t="str">
        <x:v>blue; black/gray; yellow; pink; brown</x:v>
      </x:c>
      <x:c r="M90" s="24" t="str">
        <x:v>blue; black/gray</x:v>
      </x:c>
      <x:c r="N90" s="24" t="n">
        <x:v>5</x:v>
      </x:c>
      <x:c r="O90" s="24" t="str">
        <x:v>Inside the circle is a small stacked character/object with black top section, yellow and pink lower sections, and a wide blue horizontal band above</x:v>
      </x:c>
      <x:c r="P90" s="24" t="str">
        <x:v>abstract character/object transformation</x:v>
      </x:c>
      <x:c r="Q90" s="24" t="str">
        <x:v>stacked colored sections, dark top, blue band and small line extensions</x:v>
      </x:c>
      <x:c r="R90" s="24" t="str">
        <x:v>Several connected abstract elements</x:v>
      </x:c>
      <x:c r="S90" s="24" t="str">
        <x:v>Highly distinctive because the meaning is abstract and unlike common face, flower, sun or animal completions</x:v>
      </x:c>
      <x:c r="T90" s="24" t="str">
        <x:v>Blue band with black, yellow and pink central object</x:v>
      </x:c>
      <x:c r="U90" s="24" t="str">
        <x:v>Ask the child to explain what the object represents and add more functional or story details around it</x:v>
      </x:c>
      <x:c r="V90" s="24"/>
      <x:c r="W90" s="24"/>
      <x:c r="X90" s="24" t="str">
        <x:v>unassigned</x:v>
      </x:c>
      <x:c r="Y90" s="24" t="n">
        <x:v>5</x:v>
      </x:c>
      <x:c r="Z90" s="24" t="n">
        <x:v>3</x:v>
      </x:c>
      <x:c r="AA90" s="24" t="n">
        <x:v>5</x:v>
      </x:c>
      <x:c r="AB90" s="24" t="n">
        <x:v>4</x:v>
      </x:c>
      <x:c r="AC90" s="24" t="n">
        <x:f>SUM(Y90:AB90)</x:f>
        <x:v>17</x:v>
      </x:c>
      <x:c r="AD90" s="25" t="n">
        <x:f>AVERAGE(Y90:AB90)</x:f>
        <x:v>4.25</x:v>
      </x:c>
      <x:c r="AE90" s="24" t="str">
        <x:f>IF(AD90&gt;=4.5,"Very High",IF(AD90&gt;=3.5,"High",IF(AD90&gt;=2.5,"Moderate",IF(AD90&gt;=1.5,"Developing","Low"))))</x:f>
        <x:v>High</x:v>
      </x:c>
      <x:c r="AF90" s="24" t="str">
        <x:v>Unusual abstract interpretation supports originality and imagination, though visible detail is limited.</x:v>
      </x:c>
      <x:c r="AG90" s="24" t="str">
        <x:v>PRELIMINARY_ONLY</x:v>
      </x:c>
      <x:c r="AH90" s="24" t="str">
        <x:v>Visual review; exact object identity is highly uncertain and should be confirmed with the child.</x:v>
      </x:c>
      <x:c r="AI90" s="24" t="str">
        <x:v>train</x:v>
      </x:c>
      <x:c r="AJ90" s="24"/>
      <x:c r="AK90" s="24"/>
      <x:c r="AL90" s="24"/>
      <x:c r="AM90" s="24"/>
      <x:c r="AN90" s="24"/>
      <x:c r="AO90" s="24" t="str">
        <x:v>descriptive_only_needs_human_scoring</x:v>
      </x:c>
      <x:c r="AP90" s="24" t="str">
        <x:f>IF(COUNT(AJ90:AM90)=4,"FINAL HUMAN-LABEL READY","PROTOTYPE ONLY - HUMAN VALIDATION REQUIRED")</x:f>
        <x:v>PROTOTYPE ONLY - HUMAN VALIDATION REQUIRED</x:v>
      </x:c>
    </x:row>
    <x:row r="91" ht="34" customHeight="1">
      <x:c r="A91" s="24" t="str">
        <x:v>S090</x:v>
      </x:c>
      <x:c r="B91" s="24" t="str">
        <x:v>PC01</x:v>
      </x:c>
      <x:c r="C91" s="24" t="str">
        <x:v>S090_PC01.jpeg</x:v>
      </x:c>
      <x:c r="D91" s="24" t="str">
        <x:v>images/picture_completion/S090_PC01.jpeg</x:v>
      </x:c>
      <x:c r="E91" s="24" t="str">
        <x:v>S090_PC01.jpeg</x:v>
      </x:c>
      <x:c r="F91" s="24" t="n">
        <x:v>960</x:v>
      </x:c>
      <x:c r="G91" s="24" t="n">
        <x:v>1280</x:v>
      </x:c>
      <x:c r="H91" s="25" t="n">
        <x:f>IF(G91=0,"",F91/G91)</x:f>
        <x:v>0.75</x:v>
      </x:c>
      <x:c r="I91" s="24" t="str">
        <x:v>portrait</x:v>
      </x:c>
      <x:c r="J91" s="26" t="n">
        <x:v>69</x:v>
      </x:c>
      <x:c r="K91" s="24" t="str">
        <x:v>Red outer ring with purple inner circular pattern</x:v>
      </x:c>
      <x:c r="L91" s="24" t="str">
        <x:v>red; purple; black/gray</x:v>
      </x:c>
      <x:c r="M91" s="24" t="str">
        <x:v>red; purple</x:v>
      </x:c>
      <x:c r="N91" s="24" t="n">
        <x:v>3</x:v>
      </x:c>
      <x:c r="O91" s="24" t="str">
        <x:v>Circle is filled purple with dense internal marks and surrounded by a thick red outer ring divided into sections</x:v>
      </x:c>
      <x:c r="P91" s="24" t="str">
        <x:v>decorative abstract transformation</x:v>
      </x:c>
      <x:c r="Q91" s="24" t="str">
        <x:v>purple textured center, red segmented outer ring and repeated internal line texture</x:v>
      </x:c>
      <x:c r="R91" s="24" t="str">
        <x:v>One main decorative idea with repeated patterning</x:v>
      </x:c>
      <x:c r="S91" s="24" t="str">
        <x:v>Distinctive as an abstract patterned response, though the intended object is unclear</x:v>
      </x:c>
      <x:c r="T91" s="24" t="str">
        <x:v>Purple center with red outer ring</x:v>
      </x:c>
      <x:c r="U91" s="24" t="str">
        <x:v>Ask the child what the design represents and encourage adding symbols, a function or a surrounding scene</x:v>
      </x:c>
      <x:c r="V91" s="24"/>
      <x:c r="W91" s="24"/>
      <x:c r="X91" s="24" t="str">
        <x:v>unassigned</x:v>
      </x:c>
      <x:c r="Y91" s="24" t="n">
        <x:v>4</x:v>
      </x:c>
      <x:c r="Z91" s="24" t="n">
        <x:v>4</x:v>
      </x:c>
      <x:c r="AA91" s="24" t="n">
        <x:v>4</x:v>
      </x:c>
      <x:c r="AB91" s="24" t="n">
        <x:v>3</x:v>
      </x:c>
      <x:c r="AC91" s="24" t="n">
        <x:f>SUM(Y91:AB91)</x:f>
        <x:v>15</x:v>
      </x:c>
      <x:c r="AD91" s="25" t="n">
        <x:f>AVERAGE(Y91:AB91)</x:f>
        <x:v>3.75</x:v>
      </x:c>
      <x:c r="AE91" s="24" t="str">
        <x:f>IF(AD91&gt;=4.5,"Very High",IF(AD91&gt;=3.5,"High",IF(AD91&gt;=2.5,"Moderate",IF(AD91&gt;=1.5,"Developing","Low"))))</x:f>
        <x:v>High</x:v>
      </x:c>
      <x:c r="AF91" s="24" t="str">
        <x:v>Strong visual patterning gives good elaboration and moderate originality, but conceptual meaning is unclear.</x:v>
      </x:c>
      <x:c r="AG91" s="24" t="str">
        <x:v>PRELIMINARY_ONLY</x:v>
      </x:c>
      <x:c r="AH91" s="24" t="str">
        <x:v>Visual review; exact intended meaning is uncertain.</x:v>
      </x:c>
      <x:c r="AI91" s="24" t="str">
        <x:v>validation</x:v>
      </x:c>
      <x:c r="AJ91" s="24"/>
      <x:c r="AK91" s="24"/>
      <x:c r="AL91" s="24"/>
      <x:c r="AM91" s="24"/>
      <x:c r="AN91" s="24"/>
      <x:c r="AO91" s="24" t="str">
        <x:v>descriptive_only_needs_human_scoring</x:v>
      </x:c>
      <x:c r="AP91" s="24" t="str">
        <x:f>IF(COUNT(AJ91:AM91)=4,"FINAL HUMAN-LABEL READY","PROTOTYPE ONLY - HUMAN VALIDATION REQUIRED")</x:f>
        <x:v>PROTOTYPE ONLY - HUMAN VALIDATION REQUIRED</x:v>
      </x:c>
    </x:row>
    <x:row r="92" ht="34" customHeight="1">
      <x:c r="A92" s="24" t="str">
        <x:v>S091</x:v>
      </x:c>
      <x:c r="B92" s="24" t="str">
        <x:v>PC01</x:v>
      </x:c>
      <x:c r="C92" s="24" t="str">
        <x:v>S091_PC01.jpeg</x:v>
      </x:c>
      <x:c r="D92" s="24" t="str">
        <x:v>images/picture_completion/S091_PC01.jpeg</x:v>
      </x:c>
      <x:c r="E92" s="24" t="str">
        <x:v>S091_PC01.jpeg</x:v>
      </x:c>
      <x:c r="F92" s="24" t="n">
        <x:v>960</x:v>
      </x:c>
      <x:c r="G92" s="24" t="n">
        <x:v>1280</x:v>
      </x:c>
      <x:c r="H92" s="25" t="n">
        <x:f>IF(G92=0,"",F92/G92)</x:f>
        <x:v>0.75</x:v>
      </x:c>
      <x:c r="I92" s="24" t="str">
        <x:v>portrait</x:v>
      </x:c>
      <x:c r="J92" s="26" t="n">
        <x:v>53</x:v>
      </x:c>
      <x:c r="K92" s="24" t="str">
        <x:v>Two-tone green and orange circular object</x:v>
      </x:c>
      <x:c r="L92" s="24" t="str">
        <x:v>green; orange; black/gray</x:v>
      </x:c>
      <x:c r="M92" s="24" t="str">
        <x:v>green; orange</x:v>
      </x:c>
      <x:c r="N92" s="24" t="n">
        <x:v>3</x:v>
      </x:c>
      <x:c r="O92" s="24" t="str">
        <x:v>The circle is divided diagonally into a large green section and a smaller orange section, with a dark vertical mark inside the green area.</x:v>
      </x:c>
      <x:c r="P92" s="24" t="str">
        <x:v>abstract color-block transformation</x:v>
      </x:c>
      <x:c r="Q92" s="24" t="str">
        <x:v>diagonal color split, full circular fill and internal dark detail</x:v>
      </x:c>
      <x:c r="R92" s="24" t="str">
        <x:v>One main visual idea</x:v>
      </x:c>
      <x:c r="S92" s="24" t="str">
        <x:v>Distinctive because the child used a simple two-color division rather than a common face or flower response.</x:v>
      </x:c>
      <x:c r="T92" s="24" t="str">
        <x:v>Green-dominant with orange contrast</x:v>
      </x:c>
      <x:c r="U92" s="24" t="str">
        <x:v>Ask the child what the object represents and encourage adding background, context or more defining details.</x:v>
      </x:c>
      <x:c r="V92" s="24"/>
      <x:c r="W92" s="24"/>
      <x:c r="X92" s="24" t="str">
        <x:v>unassigned</x:v>
      </x:c>
      <x:c r="Y92" s="24" t="n">
        <x:v>4</x:v>
      </x:c>
      <x:c r="Z92" s="24" t="n">
        <x:v>2</x:v>
      </x:c>
      <x:c r="AA92" s="24" t="n">
        <x:v>2</x:v>
      </x:c>
      <x:c r="AB92" s="24" t="n">
        <x:v>3</x:v>
      </x:c>
      <x:c r="AC92" s="24" t="n">
        <x:f>SUM(Y92:AB92)</x:f>
        <x:v>11</x:v>
      </x:c>
      <x:c r="AD92" s="25" t="n">
        <x:f>AVERAGE(Y92:AB92)</x:f>
        <x:v>2.75</x:v>
      </x:c>
      <x:c r="AE92" s="24" t="str">
        <x:f>IF(AD92&gt;=4.5,"Very High",IF(AD92&gt;=3.5,"High",IF(AD92&gt;=2.5,"Moderate",IF(AD92&gt;=1.5,"Developing","Low"))))</x:f>
        <x:v>Moderate</x:v>
      </x:c>
      <x:c r="AF92" s="24" t="str">
        <x:v>Unusual abstract use of the circle gives good originality, but detail and idea expansion are limited.</x:v>
      </x:c>
      <x:c r="AG92" s="24" t="str">
        <x:v>PRELIMINARY_ONLY</x:v>
      </x:c>
      <x:c r="AH92" s="24" t="str">
        <x:v>Visual review of uploaded drawing; exact intended object should be confirmed with the child.</x:v>
      </x:c>
      <x:c r="AI92" s="24" t="str">
        <x:v>train</x:v>
      </x:c>
      <x:c r="AJ92" s="24"/>
      <x:c r="AK92" s="24"/>
      <x:c r="AL92" s="24"/>
      <x:c r="AM92" s="24"/>
      <x:c r="AN92" s="24"/>
      <x:c r="AO92" s="24" t="str">
        <x:v>descriptive_only_needs_human_scoring</x:v>
      </x:c>
      <x:c r="AP92" s="24" t="str">
        <x:f>IF(COUNT(AJ92:AM92)=4,"FINAL HUMAN-LABEL READY","PROTOTYPE ONLY - HUMAN VALIDATION REQUIRED")</x:f>
        <x:v>PROTOTYPE ONLY - HUMAN VALIDATION REQUIRED</x:v>
      </x:c>
    </x:row>
    <x:row r="93" ht="34" customHeight="1">
      <x:c r="A93" s="24" t="str">
        <x:v>S092</x:v>
      </x:c>
      <x:c r="B93" s="24" t="str">
        <x:v>PC01</x:v>
      </x:c>
      <x:c r="C93" s="24" t="str">
        <x:v>S092_PC01.jpeg</x:v>
      </x:c>
      <x:c r="D93" s="24" t="str">
        <x:v>images/picture_completion/S092_PC01.jpeg</x:v>
      </x:c>
      <x:c r="E93" s="24" t="str">
        <x:v>S092_PC01.jpeg</x:v>
      </x:c>
      <x:c r="F93" s="24" t="n">
        <x:v>960</x:v>
      </x:c>
      <x:c r="G93" s="24" t="n">
        <x:v>1280</x:v>
      </x:c>
      <x:c r="H93" s="25" t="n">
        <x:f>IF(G93=0,"",F93/G93)</x:f>
        <x:v>0.75</x:v>
      </x:c>
      <x:c r="I93" s="24" t="str">
        <x:v>portrait</x:v>
      </x:c>
      <x:c r="J93" s="26" t="n">
        <x:v>51</x:v>
      </x:c>
      <x:c r="K93" s="24" t="str">
        <x:v>Jellyfish-like figure with smiling face</x:v>
      </x:c>
      <x:c r="L93" s="24" t="str">
        <x:v>red; blue; black/gray</x:v>
      </x:c>
      <x:c r="M93" s="24" t="str">
        <x:v>red; blue</x:v>
      </x:c>
      <x:c r="N93" s="24" t="n">
        <x:v>4</x:v>
      </x:c>
      <x:c r="O93" s="24" t="str">
        <x:v>The circle forms the head of a jellyfish-like figure with a smiling face, while long blue trailing lines extend from the lower side like tentacles.</x:v>
      </x:c>
      <x:c r="P93" s="24" t="str">
        <x:v>animal/sea-creature transformation</x:v>
      </x:c>
      <x:c r="Q93" s="24" t="str">
        <x:v>face, tentacle-like lines, two-tone design and directional movement</x:v>
      </x:c>
      <x:c r="R93" s="24" t="str">
        <x:v>One main idea with several connected parts</x:v>
      </x:c>
      <x:c r="S93" s="24" t="str">
        <x:v>Distinctive because the child transformed the circle into a sea-creature rather than a common object or flower.</x:v>
      </x:c>
      <x:c r="T93" s="24" t="str">
        <x:v>Red head with blue trailing lines</x:v>
      </x:c>
      <x:c r="U93" s="24" t="str">
        <x:v>Ask the child to add water, fish, bubbles or sea plants to build a fuller ocean scene.</x:v>
      </x:c>
      <x:c r="V93" s="24"/>
      <x:c r="W93" s="24"/>
      <x:c r="X93" s="24" t="str">
        <x:v>unassigned</x:v>
      </x:c>
      <x:c r="Y93" s="24" t="n">
        <x:v>4</x:v>
      </x:c>
      <x:c r="Z93" s="24" t="n">
        <x:v>3</x:v>
      </x:c>
      <x:c r="AA93" s="24" t="n">
        <x:v>3</x:v>
      </x:c>
      <x:c r="AB93" s="24" t="n">
        <x:v>4</x:v>
      </x:c>
      <x:c r="AC93" s="24" t="n">
        <x:f>SUM(Y93:AB93)</x:f>
        <x:v>14</x:v>
      </x:c>
      <x:c r="AD93" s="25" t="n">
        <x:f>AVERAGE(Y93:AB93)</x:f>
        <x:v>3.5</x:v>
      </x:c>
      <x:c r="AE93" s="24" t="str">
        <x:f>IF(AD93&gt;=4.5,"Very High",IF(AD93&gt;=3.5,"High",IF(AD93&gt;=2.5,"Moderate",IF(AD93&gt;=1.5,"Developing","Low"))))</x:f>
        <x:v>High</x:v>
      </x:c>
      <x:c r="AF93" s="24" t="str">
        <x:v>The jellyfish-like transformation is imaginative and clearer than many simple responses, with moderate detail.</x:v>
      </x:c>
      <x:c r="AG93" s="24" t="str">
        <x:v>PRELIMINARY_ONLY</x:v>
      </x:c>
      <x:c r="AH93" s="24" t="str">
        <x:v>Visual review; exact intended creature should be confirmed with the child.</x:v>
      </x:c>
      <x:c r="AI93" s="24" t="str">
        <x:v>validation</x:v>
      </x:c>
      <x:c r="AJ93" s="24"/>
      <x:c r="AK93" s="24"/>
      <x:c r="AL93" s="24"/>
      <x:c r="AM93" s="24"/>
      <x:c r="AN93" s="24"/>
      <x:c r="AO93" s="24" t="str">
        <x:v>descriptive_only_needs_human_scoring</x:v>
      </x:c>
      <x:c r="AP93" s="24" t="str">
        <x:f>IF(COUNT(AJ93:AM93)=4,"FINAL HUMAN-LABEL READY","PROTOTYPE ONLY - HUMAN VALIDATION REQUIRED")</x:f>
        <x:v>PROTOTYPE ONLY - HUMAN VALIDATION REQUIRED</x:v>
      </x:c>
    </x:row>
    <x:row r="94" ht="34" customHeight="1">
      <x:c r="A94" s="24" t="str">
        <x:v>S093</x:v>
      </x:c>
      <x:c r="B94" s="24" t="str">
        <x:v>PC01</x:v>
      </x:c>
      <x:c r="C94" s="24" t="str">
        <x:v>S093_PC01.jpeg</x:v>
      </x:c>
      <x:c r="D94" s="24" t="str">
        <x:v>images/picture_completion/S093_PC01.jpeg</x:v>
      </x:c>
      <x:c r="E94" s="24" t="str">
        <x:v>S093_PC01.jpeg</x:v>
      </x:c>
      <x:c r="F94" s="24" t="n">
        <x:v>960</x:v>
      </x:c>
      <x:c r="G94" s="24" t="n">
        <x:v>1280</x:v>
      </x:c>
      <x:c r="H94" s="25" t="n">
        <x:f>IF(G94=0,"",F94/G94)</x:f>
        <x:v>0.75</x:v>
      </x:c>
      <x:c r="I94" s="24" t="str">
        <x:v>portrait</x:v>
      </x:c>
      <x:c r="J94" s="26" t="n">
        <x:v>101.4</x:v>
      </x:c>
      <x:c r="K94" s="24" t="str">
        <x:v>Elaborate multicolored flower or decorative mandala</x:v>
      </x:c>
      <x:c r="L94" s="24" t="str">
        <x:v>blue; orange; pink; red; yellow; purple</x:v>
      </x:c>
      <x:c r="M94" s="24" t="str">
        <x:v>blue; orange</x:v>
      </x:c>
      <x:c r="N94" s="24" t="n">
        <x:v>6</x:v>
      </x:c>
      <x:c r="O94" s="24" t="str">
        <x:v>The circle is developed into a highly decorative flower- or mandala-like design with a red center, surrounding yellow shapes, large blue petal forms, orange outer petals and purple extensions.</x:v>
      </x:c>
      <x:c r="P94" s="24" t="str">
        <x:v>decorative floral transformation</x:v>
      </x:c>
      <x:c r="Q94" s="24" t="str">
        <x:v>multi-layered petals, central fill, repeated shapes, multiple color zones and surrounding structure</x:v>
      </x:c>
      <x:c r="R94" s="24" t="str">
        <x:v>Multiple coordinated idea elements</x:v>
      </x:c>
      <x:c r="S94" s="24" t="str">
        <x:v>Highly distinctive because the child added many layered decorative parts and created a rich, complex composition.</x:v>
      </x:c>
      <x:c r="T94" s="24" t="str">
        <x:v>Strong multicolor palette with blue and orange dominance</x:v>
      </x:c>
      <x:c r="U94" s="24" t="str">
        <x:v>Ask the child to explain what the design is and encourage adding a place, story or other related elements around it.</x:v>
      </x:c>
      <x:c r="V94" s="24"/>
      <x:c r="W94" s="24"/>
      <x:c r="X94" s="24" t="str">
        <x:v>unassigned</x:v>
      </x:c>
      <x:c r="Y94" s="24" t="n">
        <x:v>5</x:v>
      </x:c>
      <x:c r="Z94" s="24" t="n">
        <x:v>4</x:v>
      </x:c>
      <x:c r="AA94" s="24" t="n">
        <x:v>5</x:v>
      </x:c>
      <x:c r="AB94" s="24" t="n">
        <x:v>5</x:v>
      </x:c>
      <x:c r="AC94" s="24" t="n">
        <x:f>SUM(Y94:AB94)</x:f>
        <x:v>19</x:v>
      </x:c>
      <x:c r="AD94" s="25" t="n">
        <x:f>AVERAGE(Y94:AB94)</x:f>
        <x:v>4.75</x:v>
      </x:c>
      <x:c r="AE94" s="24" t="str">
        <x:f>IF(AD94&gt;=4.5,"Very High",IF(AD94&gt;=3.5,"High",IF(AD94&gt;=2.5,"Moderate",IF(AD94&gt;=1.5,"Developing","Low"))))</x:f>
        <x:v>Very High</x:v>
      </x:c>
      <x:c r="AF94" s="24" t="str">
        <x:v>This response shows strong elaboration, color variety and creative transformation with many structured details.</x:v>
      </x:c>
      <x:c r="AG94" s="24" t="str">
        <x:v>PRELIMINARY_ONLY</x:v>
      </x:c>
      <x:c r="AH94" s="24" t="str">
        <x:v>Visual review; exact object name may differ, but the drawing clearly shows a complex decorative transformation.</x:v>
      </x:c>
      <x:c r="AI94" s="24" t="str">
        <x:v>train</x:v>
      </x:c>
      <x:c r="AJ94" s="24"/>
      <x:c r="AK94" s="24"/>
      <x:c r="AL94" s="24"/>
      <x:c r="AM94" s="24"/>
      <x:c r="AN94" s="24"/>
      <x:c r="AO94" s="24" t="str">
        <x:v>descriptive_only_needs_human_scoring</x:v>
      </x:c>
      <x:c r="AP94" s="24" t="str">
        <x:f>IF(COUNT(AJ94:AM94)=4,"FINAL HUMAN-LABEL READY","PROTOTYPE ONLY - HUMAN VALIDATION REQUIRED")</x:f>
        <x:v>PROTOTYPE ONLY - HUMAN VALIDATION REQUIRED</x:v>
      </x:c>
    </x:row>
    <x:row r="95" ht="34" customHeight="1">
      <x:c r="A95" s="24" t="str">
        <x:v>S094</x:v>
      </x:c>
      <x:c r="B95" s="24" t="str">
        <x:v>PC01</x:v>
      </x:c>
      <x:c r="C95" s="24" t="str">
        <x:v>S094_PC01.jpeg</x:v>
      </x:c>
      <x:c r="D95" s="24" t="str">
        <x:v>images/picture_completion/S094_PC01.jpeg</x:v>
      </x:c>
      <x:c r="E95" s="24" t="str">
        <x:v>S094_PC01.jpeg</x:v>
      </x:c>
      <x:c r="F95" s="24" t="n">
        <x:v>960</x:v>
      </x:c>
      <x:c r="G95" s="24" t="n">
        <x:v>1280</x:v>
      </x:c>
      <x:c r="H95" s="25" t="n">
        <x:f>IF(G95=0,"",F95/G95)</x:f>
        <x:v>0.75</x:v>
      </x:c>
      <x:c r="I95" s="24" t="str">
        <x:v>portrait</x:v>
      </x:c>
      <x:c r="J95" s="26" t="n">
        <x:v>44.8</x:v>
      </x:c>
      <x:c r="K95" s="24" t="str">
        <x:v>Face with geometric decorations</x:v>
      </x:c>
      <x:c r="L95" s="24" t="str">
        <x:v>red; pink; black/gray; brown</x:v>
      </x:c>
      <x:c r="M95" s="24" t="str">
        <x:v>red; pink</x:v>
      </x:c>
      <x:c r="N95" s="24" t="n">
        <x:v>4</x:v>
      </x:c>
      <x:c r="O95" s="24" t="str">
        <x:v>Inside the circle is a simple face with eyes and lips, while several geometric shapes such as stars, hexagons and quadrilateral forms appear around the upper side of the head.</x:v>
      </x:c>
      <x:c r="P95" s="24" t="str">
        <x:v>face-and-symbol transformation</x:v>
      </x:c>
      <x:c r="Q95" s="24" t="str">
        <x:v>facial features, decorative symbols, multiple small shapes and asymmetrical arrangement</x:v>
      </x:c>
      <x:c r="R95" s="24" t="str">
        <x:v>One main figure with several added elements</x:v>
      </x:c>
      <x:c r="S95" s="24" t="str">
        <x:v>Distinctive because the child combined a face with floating geometric decorative elements.</x:v>
      </x:c>
      <x:c r="T95" s="24" t="str">
        <x:v>Red and pink details with dark outlines</x:v>
      </x:c>
      <x:c r="U95" s="24" t="str">
        <x:v>Ask the child to explain what the shapes represent and add more story context or background details.</x:v>
      </x:c>
      <x:c r="V95" s="24"/>
      <x:c r="W95" s="24"/>
      <x:c r="X95" s="24" t="str">
        <x:v>unassigned</x:v>
      </x:c>
      <x:c r="Y95" s="24" t="n">
        <x:v>4</x:v>
      </x:c>
      <x:c r="Z95" s="24" t="n">
        <x:v>4</x:v>
      </x:c>
      <x:c r="AA95" s="24" t="n">
        <x:v>4</x:v>
      </x:c>
      <x:c r="AB95" s="24" t="n">
        <x:v>4</x:v>
      </x:c>
      <x:c r="AC95" s="24" t="n">
        <x:f>SUM(Y95:AB95)</x:f>
        <x:v>16</x:v>
      </x:c>
      <x:c r="AD95" s="25" t="n">
        <x:f>AVERAGE(Y95:AB95)</x:f>
        <x:v>4</x:v>
      </x:c>
      <x:c r="AE95" s="24" t="str">
        <x:f>IF(AD95&gt;=4.5,"Very High",IF(AD95&gt;=3.5,"High",IF(AD95&gt;=2.5,"Moderate",IF(AD95&gt;=1.5,"Developing","Low"))))</x:f>
        <x:v>High</x:v>
      </x:c>
      <x:c r="AF95" s="24" t="str">
        <x:v>The face-plus-symbol composition shows balanced originality and imagination, with moderate elaboration.</x:v>
      </x:c>
      <x:c r="AG95" s="24" t="str">
        <x:v>PRELIMINARY_ONLY</x:v>
      </x:c>
      <x:c r="AH95" s="24" t="str">
        <x:v>Visual review; the meaning of the surrounding shapes should be confirmed with the child.</x:v>
      </x:c>
      <x:c r="AI95" s="24" t="str">
        <x:v>train</x:v>
      </x:c>
      <x:c r="AJ95" s="24"/>
      <x:c r="AK95" s="24"/>
      <x:c r="AL95" s="24"/>
      <x:c r="AM95" s="24"/>
      <x:c r="AN95" s="24"/>
      <x:c r="AO95" s="24" t="str">
        <x:v>descriptive_only_needs_human_scoring</x:v>
      </x:c>
      <x:c r="AP95" s="24" t="str">
        <x:f>IF(COUNT(AJ95:AM95)=4,"FINAL HUMAN-LABEL READY","PROTOTYPE ONLY - HUMAN VALIDATION REQUIRED")</x:f>
        <x:v>PROTOTYPE ONLY - HUMAN VALIDATION REQUIRED</x:v>
      </x:c>
    </x:row>
    <x:row r="96" ht="34" customHeight="1">
      <x:c r="A96" s="24" t="str">
        <x:v>S095</x:v>
      </x:c>
      <x:c r="B96" s="24" t="str">
        <x:v>PC01</x:v>
      </x:c>
      <x:c r="C96" s="24" t="str">
        <x:v>S095_PC01.jpeg</x:v>
      </x:c>
      <x:c r="D96" s="24" t="str">
        <x:v>images/picture_completion/S095_PC01.jpeg</x:v>
      </x:c>
      <x:c r="E96" s="24" t="str">
        <x:v>S095_PC01.jpeg</x:v>
      </x:c>
      <x:c r="F96" s="24" t="n">
        <x:v>960</x:v>
      </x:c>
      <x:c r="G96" s="24" t="n">
        <x:v>1280</x:v>
      </x:c>
      <x:c r="H96" s="25" t="n">
        <x:f>IF(G96=0,"",F96/G96)</x:f>
        <x:v>0.75</x:v>
      </x:c>
      <x:c r="I96" s="24" t="str">
        <x:v>portrait</x:v>
      </x:c>
      <x:c r="J96" s="26" t="n">
        <x:v>79.3</x:v>
      </x:c>
      <x:c r="K96" s="24" t="str">
        <x:v>Pinwheel or umbrella-like circular design</x:v>
      </x:c>
      <x:c r="L96" s="24" t="str">
        <x:v>red; pink; blue; black/gray</x:v>
      </x:c>
      <x:c r="M96" s="24" t="str">
        <x:v>red; pink; blue</x:v>
      </x:c>
      <x:c r="N96" s="24" t="n">
        <x:v>4</x:v>
      </x:c>
      <x:c r="O96" s="24" t="str">
        <x:v>A large circular design radiates from a central dark point, with wedge-like red and blue sections and a broad red segment at the left edge, resembling a pinwheel, umbrella or decorative flower.</x:v>
      </x:c>
      <x:c r="P96" s="24" t="str">
        <x:v>radial-pattern transformation</x:v>
      </x:c>
      <x:c r="Q96" s="24" t="str">
        <x:v>central point, segmented wedges, repeated radial lines and large surrounding circular form</x:v>
      </x:c>
      <x:c r="R96" s="24" t="str">
        <x:v>One main idea with repeated structural patterning</x:v>
      </x:c>
      <x:c r="S96" s="24" t="str">
        <x:v>Distinctive because the child used organized radial symmetry and created a strong patterned composition.</x:v>
      </x:c>
      <x:c r="T96" s="24" t="str">
        <x:v>Soft red and blue tones with dark center</x:v>
      </x:c>
      <x:c r="U96" s="24" t="str">
        <x:v>Ask the child to say what the object is and add a setting such as wind, rain, garden or play scene.</x:v>
      </x:c>
      <x:c r="V96" s="24"/>
      <x:c r="W96" s="24"/>
      <x:c r="X96" s="24" t="str">
        <x:v>unassigned</x:v>
      </x:c>
      <x:c r="Y96" s="24" t="n">
        <x:v>4</x:v>
      </x:c>
      <x:c r="Z96" s="24" t="n">
        <x:v>4</x:v>
      </x:c>
      <x:c r="AA96" s="24" t="n">
        <x:v>5</x:v>
      </x:c>
      <x:c r="AB96" s="24" t="n">
        <x:v>3</x:v>
      </x:c>
      <x:c r="AC96" s="24" t="n">
        <x:f>SUM(Y96:AB96)</x:f>
        <x:v>16</x:v>
      </x:c>
      <x:c r="AD96" s="25" t="n">
        <x:f>AVERAGE(Y96:AB96)</x:f>
        <x:v>4</x:v>
      </x:c>
      <x:c r="AE96" s="24" t="str">
        <x:f>IF(AD96&gt;=4.5,"Very High",IF(AD96&gt;=3.5,"High",IF(AD96&gt;=2.5,"Moderate",IF(AD96&gt;=1.5,"Developing","Low"))))</x:f>
        <x:v>High</x:v>
      </x:c>
      <x:c r="AF96" s="24" t="str">
        <x:v>The repeated radial structure gives strong elaboration, while the meaning remains somewhat open-ended.</x:v>
      </x:c>
      <x:c r="AG96" s="24" t="str">
        <x:v>PRELIMINARY_ONLY</x:v>
      </x:c>
      <x:c r="AH96" s="24" t="str">
        <x:v>Visual review; exact intended object may be pinwheel, umbrella or another radial form.</x:v>
      </x:c>
      <x:c r="AI96" s="24" t="str">
        <x:v>test</x:v>
      </x:c>
      <x:c r="AJ96" s="24"/>
      <x:c r="AK96" s="24"/>
      <x:c r="AL96" s="24"/>
      <x:c r="AM96" s="24"/>
      <x:c r="AN96" s="24"/>
      <x:c r="AO96" s="24" t="str">
        <x:v>descriptive_only_needs_human_scoring</x:v>
      </x:c>
      <x:c r="AP96" s="24" t="str">
        <x:f>IF(COUNT(AJ96:AM96)=4,"FINAL HUMAN-LABEL READY","PROTOTYPE ONLY - HUMAN VALIDATION REQUIRED")</x:f>
        <x:v>PROTOTYPE ONLY - HUMAN VALIDATION REQUIRED</x:v>
      </x:c>
    </x:row>
    <x:row r="97" ht="34" customHeight="1">
      <x:c r="A97" s="24" t="str">
        <x:v>S096</x:v>
      </x:c>
      <x:c r="B97" s="24" t="str">
        <x:v>PC01</x:v>
      </x:c>
      <x:c r="C97" s="24" t="str">
        <x:v>S096_PC01.jpeg</x:v>
      </x:c>
      <x:c r="D97" s="24" t="str">
        <x:v>images/picture_completion/S096_PC01.jpeg</x:v>
      </x:c>
      <x:c r="E97" s="24" t="str">
        <x:v>S096_PC01.jpeg</x:v>
      </x:c>
      <x:c r="F97" s="24" t="n">
        <x:v>960</x:v>
      </x:c>
      <x:c r="G97" s="24" t="n">
        <x:v>1280</x:v>
      </x:c>
      <x:c r="H97" s="25" t="n">
        <x:f>IF(G97=0,"",F97/G97)</x:f>
        <x:v>0.75</x:v>
      </x:c>
      <x:c r="I97" s="24" t="str">
        <x:v>portrait</x:v>
      </x:c>
      <x:c r="J97" s="26" t="n">
        <x:v>42.7</x:v>
      </x:c>
      <x:c r="K97" s="24" t="str">
        <x:v>Small red vehicle or rocket-like object</x:v>
      </x:c>
      <x:c r="L97" s="24" t="str">
        <x:v>red; green; pink; black/gray</x:v>
      </x:c>
      <x:c r="M97" s="24" t="str">
        <x:v>red; green</x:v>
      </x:c>
      <x:c r="N97" s="24" t="n">
        <x:v>4</x:v>
      </x:c>
      <x:c r="O97" s="24" t="str">
        <x:v>Inside the circle is a small red upright object with a green top, tiny side details and a pointed lower section, resembling a vehicle, rocket or cartoon machine.</x:v>
      </x:c>
      <x:c r="P97" s="24" t="str">
        <x:v>object/vehicle transformation</x:v>
      </x:c>
      <x:c r="Q97" s="24" t="str">
        <x:v>body, top section, side circles and pointed base</x:v>
      </x:c>
      <x:c r="R97" s="24" t="str">
        <x:v>One main idea with a few functional parts</x:v>
      </x:c>
      <x:c r="S97" s="24" t="str">
        <x:v>Distinctive because it uses the circle to frame a small constructed object rather than filling the entire circle with a face or pattern.</x:v>
      </x:c>
      <x:c r="T97" s="24" t="str">
        <x:v>Red-dominant with green top detail</x:v>
      </x:c>
      <x:c r="U97" s="24" t="str">
        <x:v>Ask the child what the object is used for and encourage adding motion, destination or surrounding environment.</x:v>
      </x:c>
      <x:c r="V97" s="24"/>
      <x:c r="W97" s="24"/>
      <x:c r="X97" s="24" t="str">
        <x:v>unassigned</x:v>
      </x:c>
      <x:c r="Y97" s="24" t="n">
        <x:v>4</x:v>
      </x:c>
      <x:c r="Z97" s="24" t="n">
        <x:v>3</x:v>
      </x:c>
      <x:c r="AA97" s="24" t="n">
        <x:v>3</x:v>
      </x:c>
      <x:c r="AB97" s="24" t="n">
        <x:v>3</x:v>
      </x:c>
      <x:c r="AC97" s="24" t="n">
        <x:f>SUM(Y97:AB97)</x:f>
        <x:v>13</x:v>
      </x:c>
      <x:c r="AD97" s="25" t="n">
        <x:f>AVERAGE(Y97:AB97)</x:f>
        <x:v>3.25</x:v>
      </x:c>
      <x:c r="AE97" s="24" t="str">
        <x:f>IF(AD97&gt;=4.5,"Very High",IF(AD97&gt;=3.5,"High",IF(AD97&gt;=2.5,"Moderate",IF(AD97&gt;=1.5,"Developing","Low"))))</x:f>
        <x:v>Moderate</x:v>
      </x:c>
      <x:c r="AF97" s="24" t="str">
        <x:v>A non-common object choice supports originality, though visible detail remains moderate.</x:v>
      </x:c>
      <x:c r="AG97" s="24" t="str">
        <x:v>PRELIMINARY_ONLY</x:v>
      </x:c>
      <x:c r="AH97" s="24" t="str">
        <x:v>Visual review; exact object identity should be confirmed with the child.</x:v>
      </x:c>
      <x:c r="AI97" s="24" t="str">
        <x:v>train</x:v>
      </x:c>
      <x:c r="AJ97" s="24"/>
      <x:c r="AK97" s="24"/>
      <x:c r="AL97" s="24"/>
      <x:c r="AM97" s="24"/>
      <x:c r="AN97" s="24"/>
      <x:c r="AO97" s="24" t="str">
        <x:v>descriptive_only_needs_human_scoring</x:v>
      </x:c>
      <x:c r="AP97" s="24" t="str">
        <x:f>IF(COUNT(AJ97:AM97)=4,"FINAL HUMAN-LABEL READY","PROTOTYPE ONLY - HUMAN VALIDATION REQUIRED")</x:f>
        <x:v>PROTOTYPE ONLY - HUMAN VALIDATION REQUIRED</x:v>
      </x:c>
    </x:row>
    <x:row r="98" ht="34" customHeight="1">
      <x:c r="A98" s="24" t="str">
        <x:v>S097</x:v>
      </x:c>
      <x:c r="B98" s="24" t="str">
        <x:v>PC01</x:v>
      </x:c>
      <x:c r="C98" s="24" t="str">
        <x:v>S097_PC01.jpeg</x:v>
      </x:c>
      <x:c r="D98" s="24" t="str">
        <x:v>images/picture_completion/S097_PC01.jpeg</x:v>
      </x:c>
      <x:c r="E98" s="24" t="str">
        <x:v>S097_PC01.jpeg</x:v>
      </x:c>
      <x:c r="F98" s="24" t="n">
        <x:v>960</x:v>
      </x:c>
      <x:c r="G98" s="24" t="n">
        <x:v>1280</x:v>
      </x:c>
      <x:c r="H98" s="25" t="n">
        <x:f>IF(G98=0,"",F98/G98)</x:f>
        <x:v>0.75</x:v>
      </x:c>
      <x:c r="I98" s="24" t="str">
        <x:v>portrait</x:v>
      </x:c>
      <x:c r="J98" s="26" t="n">
        <x:v>60</x:v>
      </x:c>
      <x:c r="K98" s="24" t="str">
        <x:v>Colorful wheel or lollipop with handle</x:v>
      </x:c>
      <x:c r="L98" s="24" t="str">
        <x:v>purple; pink; yellow; orange; black</x:v>
      </x:c>
      <x:c r="M98" s="24" t="str">
        <x:v>purple; pink; yellow</x:v>
      </x:c>
      <x:c r="N98" s="24" t="n">
        <x:v>5</x:v>
      </x:c>
      <x:c r="O98" s="24" t="str">
        <x:v>The circle is divided into bright wedge-shaped color sections around an orange center, and a long pink vertical handle extends from the top, making it look like a colorful wheel, spinner or lollipop.</x:v>
      </x:c>
      <x:c r="P98" s="24" t="str">
        <x:v>play-object transformation</x:v>
      </x:c>
      <x:c r="Q98" s="24" t="str">
        <x:v>pie-like segments, central hub, strong color contrast and handle</x:v>
      </x:c>
      <x:c r="R98" s="24" t="str">
        <x:v>One main idea with repeated segments</x:v>
      </x:c>
      <x:c r="S98" s="24" t="str">
        <x:v>Distinctive because the child combined color segmentation with an added handle to suggest a playful object.</x:v>
      </x:c>
      <x:c r="T98" s="24" t="str">
        <x:v>Multicolored wedges with orange center</x:v>
      </x:c>
      <x:c r="U98" s="24" t="str">
        <x:v>Ask the child to describe how the object works and add a person, game or background scene.</x:v>
      </x:c>
      <x:c r="V98" s="24"/>
      <x:c r="W98" s="24"/>
      <x:c r="X98" s="24" t="str">
        <x:v>unassigned</x:v>
      </x:c>
      <x:c r="Y98" s="24" t="n">
        <x:v>3</x:v>
      </x:c>
      <x:c r="Z98" s="24" t="n">
        <x:v>3</x:v>
      </x:c>
      <x:c r="AA98" s="24" t="n">
        <x:v>4</x:v>
      </x:c>
      <x:c r="AB98" s="24" t="n">
        <x:v>3</x:v>
      </x:c>
      <x:c r="AC98" s="24" t="n">
        <x:f>SUM(Y98:AB98)</x:f>
        <x:v>13</x:v>
      </x:c>
      <x:c r="AD98" s="25" t="n">
        <x:f>AVERAGE(Y98:AB98)</x:f>
        <x:v>3.25</x:v>
      </x:c>
      <x:c r="AE98" s="24" t="str">
        <x:f>IF(AD98&gt;=4.5,"Very High",IF(AD98&gt;=3.5,"High",IF(AD98&gt;=2.5,"Moderate",IF(AD98&gt;=1.5,"Developing","Low"))))</x:f>
        <x:v>Moderate</x:v>
      </x:c>
      <x:c r="AF98" s="24" t="str">
        <x:v>Colorful segmentation adds visual interest, but the conceptual transformation is relatively simple.</x:v>
      </x:c>
      <x:c r="AG98" s="24" t="str">
        <x:v>PRELIMINARY_ONLY</x:v>
      </x:c>
      <x:c r="AH98" s="24" t="str">
        <x:v>Visual review; exact intended object may be a toy spinner, wheel or lollipop.</x:v>
      </x:c>
      <x:c r="AI98" s="24" t="str">
        <x:v>train</x:v>
      </x:c>
      <x:c r="AJ98" s="24"/>
      <x:c r="AK98" s="24"/>
      <x:c r="AL98" s="24"/>
      <x:c r="AM98" s="24"/>
      <x:c r="AN98" s="24"/>
      <x:c r="AO98" s="24" t="str">
        <x:v>descriptive_only_needs_human_scoring</x:v>
      </x:c>
      <x:c r="AP98" s="24" t="str">
        <x:f>IF(COUNT(AJ98:AM98)=4,"FINAL HUMAN-LABEL READY","PROTOTYPE ONLY - HUMAN VALIDATION REQUIRED")</x:f>
        <x:v>PROTOTYPE ONLY - HUMAN VALIDATION REQUIRED</x:v>
      </x:c>
    </x:row>
    <x:row r="99" ht="34" customHeight="1">
      <x:c r="A99" s="24" t="str">
        <x:v>S098</x:v>
      </x:c>
      <x:c r="B99" s="24" t="str">
        <x:v>PC01</x:v>
      </x:c>
      <x:c r="C99" s="24" t="str">
        <x:v>S098_PC01.jpeg</x:v>
      </x:c>
      <x:c r="D99" s="24" t="str">
        <x:v>images/picture_completion/S098_PC01.jpeg</x:v>
      </x:c>
      <x:c r="E99" s="24" t="str">
        <x:v>S098_PC01.jpeg</x:v>
      </x:c>
      <x:c r="F99" s="24" t="n">
        <x:v>960</x:v>
      </x:c>
      <x:c r="G99" s="24" t="n">
        <x:v>1280</x:v>
      </x:c>
      <x:c r="H99" s="25" t="n">
        <x:f>IF(G99=0,"",F99/G99)</x:f>
        <x:v>0.75</x:v>
      </x:c>
      <x:c r="I99" s="24" t="str">
        <x:v>portrait</x:v>
      </x:c>
      <x:c r="J99" s="26" t="n">
        <x:v>46.9</x:v>
      </x:c>
      <x:c r="K99" s="24" t="str">
        <x:v>Rainbow-striped circular design</x:v>
      </x:c>
      <x:c r="L99" s="24" t="str">
        <x:v>pink; blue; purple; green; yellow; brown; red</x:v>
      </x:c>
      <x:c r="M99" s="24" t="str">
        <x:v>red; blue; green</x:v>
      </x:c>
      <x:c r="N99" s="24" t="n">
        <x:v>7</x:v>
      </x:c>
      <x:c r="O99" s="24" t="str">
        <x:v>The circle is filled with horizontal rainbow-like color bands from pink at the top through blue, purple, green, yellow and brown to red at the bottom.</x:v>
      </x:c>
      <x:c r="P99" s="24" t="str">
        <x:v>abstract rainbow transformation</x:v>
      </x:c>
      <x:c r="Q99" s="24" t="str">
        <x:v>horizontal stripes, full fill and clear color sequencing</x:v>
      </x:c>
      <x:c r="R99" s="24" t="str">
        <x:v>One main idea</x:v>
      </x:c>
      <x:c r="S99" s="24" t="str">
        <x:v>Distinctive mainly for its color sequencing, though it remains a simple abstract completion.</x:v>
      </x:c>
      <x:c r="T99" s="24" t="str">
        <x:v>Rainbow-like multicolor horizontal bands</x:v>
      </x:c>
      <x:c r="U99" s="24" t="str">
        <x:v>Ask the child to explain what the circle represents and add context such as sky, weather, landscape or another object.</x:v>
      </x:c>
      <x:c r="V99" s="24"/>
      <x:c r="W99" s="24"/>
      <x:c r="X99" s="24" t="str">
        <x:v>unassigned</x:v>
      </x:c>
      <x:c r="Y99" s="24" t="n">
        <x:v>3</x:v>
      </x:c>
      <x:c r="Z99" s="24" t="n">
        <x:v>3</x:v>
      </x:c>
      <x:c r="AA99" s="24" t="n">
        <x:v>3</x:v>
      </x:c>
      <x:c r="AB99" s="24" t="n">
        <x:v>3</x:v>
      </x:c>
      <x:c r="AC99" s="24" t="n">
        <x:f>SUM(Y99:AB99)</x:f>
        <x:v>12</x:v>
      </x:c>
      <x:c r="AD99" s="25" t="n">
        <x:f>AVERAGE(Y99:AB99)</x:f>
        <x:v>3</x:v>
      </x:c>
      <x:c r="AE99" s="24" t="str">
        <x:f>IF(AD99&gt;=4.5,"Very High",IF(AD99&gt;=3.5,"High",IF(AD99&gt;=2.5,"Moderate",IF(AD99&gt;=1.5,"Developing","Low"))))</x:f>
        <x:v>Moderate</x:v>
      </x:c>
      <x:c r="AF99" s="24" t="str">
        <x:v>Good use of color variety, but the idea is simple and minimally elaborated.</x:v>
      </x:c>
      <x:c r="AG99" s="24" t="str">
        <x:v>PRELIMINARY_ONLY</x:v>
      </x:c>
      <x:c r="AH99" s="24" t="str">
        <x:v>Visual review; intended meaning should be confirmed with the child.</x:v>
      </x:c>
      <x:c r="AI99" s="24" t="str">
        <x:v>train</x:v>
      </x:c>
      <x:c r="AJ99" s="24"/>
      <x:c r="AK99" s="24"/>
      <x:c r="AL99" s="24"/>
      <x:c r="AM99" s="24"/>
      <x:c r="AN99" s="24"/>
      <x:c r="AO99" s="24" t="str">
        <x:v>descriptive_only_needs_human_scoring</x:v>
      </x:c>
      <x:c r="AP99" s="24" t="str">
        <x:f>IF(COUNT(AJ99:AM99)=4,"FINAL HUMAN-LABEL READY","PROTOTYPE ONLY - HUMAN VALIDATION REQUIRED")</x:f>
        <x:v>PROTOTYPE ONLY - HUMAN VALIDATION REQUIRED</x:v>
      </x:c>
    </x:row>
    <x:row r="100" ht="34" customHeight="1">
      <x:c r="A100" s="24" t="str">
        <x:v>S099</x:v>
      </x:c>
      <x:c r="B100" s="24" t="str">
        <x:v>PC01</x:v>
      </x:c>
      <x:c r="C100" s="24" t="str">
        <x:v>S099_PC01.jpeg</x:v>
      </x:c>
      <x:c r="D100" s="24" t="str">
        <x:v>images/picture_completion/S099_PC01.jpeg</x:v>
      </x:c>
      <x:c r="E100" s="24" t="str">
        <x:v>S099_PC01.jpeg</x:v>
      </x:c>
      <x:c r="F100" s="24" t="n">
        <x:v>960</x:v>
      </x:c>
      <x:c r="G100" s="24" t="n">
        <x:v>1280</x:v>
      </x:c>
      <x:c r="H100" s="25" t="n">
        <x:f>IF(G100=0,"",F100/G100)</x:f>
        <x:v>0.75</x:v>
      </x:c>
      <x:c r="I100" s="24" t="str">
        <x:v>portrait</x:v>
      </x:c>
      <x:c r="J100" s="26" t="n">
        <x:v>81.5</x:v>
      </x:c>
      <x:c r="K100" s="24" t="str">
        <x:v>Flower with expressive face and background scene</x:v>
      </x:c>
      <x:c r="L100" s="24" t="str">
        <x:v>pink; yellow; blue; green; black/gray</x:v>
      </x:c>
      <x:c r="M100" s="24" t="str">
        <x:v>pink; yellow</x:v>
      </x:c>
      <x:c r="N100" s="24" t="n">
        <x:v>5</x:v>
      </x:c>
      <x:c r="O100" s="24" t="str">
        <x:v>The circle becomes the face of a flower with many pink petals, expressive eyes and a large open mouth with visible teeth. Blue wavy lines and green vertical lines appear in the background.</x:v>
      </x:c>
      <x:c r="P100" s="24" t="str">
        <x:v>flower-character transformation</x:v>
      </x:c>
      <x:c r="Q100" s="24" t="str">
        <x:v>petals, facial expression, teeth, background lines and strong outline</x:v>
      </x:c>
      <x:c r="R100" s="24" t="str">
        <x:v>One main character with surrounding scene elements</x:v>
      </x:c>
      <x:c r="S100" s="24" t="str">
        <x:v>Distinctive because the flower has a dramatic facial expression and is placed within a simple surrounding scene.</x:v>
      </x:c>
      <x:c r="T100" s="24" t="str">
        <x:v>Pink flower with yellow face and blue-green background details</x:v>
      </x:c>
      <x:c r="U100" s="24" t="str">
        <x:v>Ask the child to tell a story about the flower and add sun, insects, grass or other plants.</x:v>
      </x:c>
      <x:c r="V100" s="24"/>
      <x:c r="W100" s="24"/>
      <x:c r="X100" s="24" t="str">
        <x:v>unassigned</x:v>
      </x:c>
      <x:c r="Y100" s="24" t="n">
        <x:v>4</x:v>
      </x:c>
      <x:c r="Z100" s="24" t="n">
        <x:v>4</x:v>
      </x:c>
      <x:c r="AA100" s="24" t="n">
        <x:v>5</x:v>
      </x:c>
      <x:c r="AB100" s="24" t="n">
        <x:v>4</x:v>
      </x:c>
      <x:c r="AC100" s="24" t="n">
        <x:f>SUM(Y100:AB100)</x:f>
        <x:v>17</x:v>
      </x:c>
      <x:c r="AD100" s="25" t="n">
        <x:f>AVERAGE(Y100:AB100)</x:f>
        <x:v>4.25</x:v>
      </x:c>
      <x:c r="AE100" s="24" t="str">
        <x:f>IF(AD100&gt;=4.5,"Very High",IF(AD100&gt;=3.5,"High",IF(AD100&gt;=2.5,"Moderate",IF(AD100&gt;=1.5,"Developing","Low"))))</x:f>
        <x:v>High</x:v>
      </x:c>
      <x:c r="AF100" s="24" t="str">
        <x:v>Expressive character design and added background context give this response strong imagination and elaboration.</x:v>
      </x:c>
      <x:c r="AG100" s="24" t="str">
        <x:v>PRELIMINARY_ONLY</x:v>
      </x:c>
      <x:c r="AH100" s="24" t="str">
        <x:v>Visual review; the flower-character interpretation is clear.</x:v>
      </x:c>
      <x:c r="AI100" s="24" t="str">
        <x:v>train</x:v>
      </x:c>
      <x:c r="AJ100" s="24"/>
      <x:c r="AK100" s="24"/>
      <x:c r="AL100" s="24"/>
      <x:c r="AM100" s="24"/>
      <x:c r="AN100" s="24"/>
      <x:c r="AO100" s="24" t="str">
        <x:v>descriptive_only_needs_human_scoring</x:v>
      </x:c>
      <x:c r="AP100" s="24" t="str">
        <x:f>IF(COUNT(AJ100:AM100)=4,"FINAL HUMAN-LABEL READY","PROTOTYPE ONLY - HUMAN VALIDATION REQUIRED")</x:f>
        <x:v>PROTOTYPE ONLY - HUMAN VALIDATION REQUIRED</x:v>
      </x:c>
    </x:row>
    <x:row r="101" ht="34" customHeight="1">
      <x:c r="A101" s="24" t="str">
        <x:v>S100</x:v>
      </x:c>
      <x:c r="B101" s="24" t="str">
        <x:v>PC01</x:v>
      </x:c>
      <x:c r="C101" s="24" t="str">
        <x:v>S100_PC01.jpeg</x:v>
      </x:c>
      <x:c r="D101" s="24" t="str">
        <x:v>images/picture_completion/S100_PC01.jpeg</x:v>
      </x:c>
      <x:c r="E101" s="24" t="str">
        <x:v>S100_PC01.jpeg</x:v>
      </x:c>
      <x:c r="F101" s="24" t="n">
        <x:v>960</x:v>
      </x:c>
      <x:c r="G101" s="24" t="n">
        <x:v>1280</x:v>
      </x:c>
      <x:c r="H101" s="25" t="n">
        <x:f>IF(G101=0,"",F101/G101)</x:f>
        <x:v>0.75</x:v>
      </x:c>
      <x:c r="I101" s="24" t="str">
        <x:v>portrait</x:v>
      </x:c>
      <x:c r="J101" s="26" t="n">
        <x:v>63.2</x:v>
      </x:c>
      <x:c r="K101" s="24" t="str">
        <x:v>Multicolored wheel or pinwheel with handle</x:v>
      </x:c>
      <x:c r="L101" s="24" t="str">
        <x:v>blue; pink; green; red; yellow; brown; purple</x:v>
      </x:c>
      <x:c r="M101" s="24" t="str">
        <x:v>brown; blue; green</x:v>
      </x:c>
      <x:c r="N101" s="24" t="n">
        <x:v>7</x:v>
      </x:c>
      <x:c r="O101" s="24" t="str">
        <x:v>The circle is divided into many narrow multicolored radial sections converging at a central dark point, and a brown vertical handle extends from the top.</x:v>
      </x:c>
      <x:c r="P101" s="24" t="str">
        <x:v>radial play-object transformation</x:v>
      </x:c>
      <x:c r="Q101" s="24" t="str">
        <x:v>many narrow segments, central convergence point, color variation and handle</x:v>
      </x:c>
      <x:c r="R101" s="24" t="str">
        <x:v>One main idea with repeated patterned detail</x:v>
      </x:c>
      <x:c r="S101" s="24" t="str">
        <x:v>Distinctive because the child used many color slices to build a structured spinner- or wheel-like object.</x:v>
      </x:c>
      <x:c r="T101" s="24" t="str">
        <x:v>Highly multicolored with brown handle</x:v>
      </x:c>
      <x:c r="U101" s="24" t="str">
        <x:v>Ask the child to describe what the object is and encourage adding action, people or setting around it.</x:v>
      </x:c>
      <x:c r="V101" s="24"/>
      <x:c r="W101" s="24"/>
      <x:c r="X101" s="24" t="str">
        <x:v>unassigned</x:v>
      </x:c>
      <x:c r="Y101" s="24" t="n">
        <x:v>3</x:v>
      </x:c>
      <x:c r="Z101" s="24" t="n">
        <x:v>4</x:v>
      </x:c>
      <x:c r="AA101" s="24" t="n">
        <x:v>5</x:v>
      </x:c>
      <x:c r="AB101" s="24" t="n">
        <x:v>3</x:v>
      </x:c>
      <x:c r="AC101" s="24" t="n">
        <x:f>SUM(Y101:AB101)</x:f>
        <x:v>15</x:v>
      </x:c>
      <x:c r="AD101" s="25" t="n">
        <x:f>AVERAGE(Y101:AB101)</x:f>
        <x:v>3.75</x:v>
      </x:c>
      <x:c r="AE101" s="24" t="str">
        <x:f>IF(AD101&gt;=4.5,"Very High",IF(AD101&gt;=3.5,"High",IF(AD101&gt;=2.5,"Moderate",IF(AD101&gt;=1.5,"Developing","Low"))))</x:f>
        <x:v>High</x:v>
      </x:c>
      <x:c r="AF101" s="24" t="str">
        <x:v>The dense segment pattern gives strong elaboration, though the underlying idea is similar to other wheel-like responses.</x:v>
      </x:c>
      <x:c r="AG101" s="24" t="str">
        <x:v>PRELIMINARY_ONLY</x:v>
      </x:c>
      <x:c r="AH101" s="24" t="str">
        <x:v>Visual review; exact object identity may vary.</x:v>
      </x:c>
      <x:c r="AI101" s="24" t="str">
        <x:v>train</x:v>
      </x:c>
      <x:c r="AJ101" s="24"/>
      <x:c r="AK101" s="24"/>
      <x:c r="AL101" s="24"/>
      <x:c r="AM101" s="24"/>
      <x:c r="AN101" s="24"/>
      <x:c r="AO101" s="24" t="str">
        <x:v>descriptive_only_needs_human_scoring</x:v>
      </x:c>
      <x:c r="AP101" s="24" t="str">
        <x:f>IF(COUNT(AJ101:AM101)=4,"FINAL HUMAN-LABEL READY","PROTOTYPE ONLY - HUMAN VALIDATION REQUIRED")</x:f>
        <x:v>PROTOTYPE ONLY - HUMAN VALIDATION REQUIRED</x:v>
      </x:c>
    </x:row>
    <x:row r="102" ht="34" customHeight="1">
      <x:c r="A102" s="24" t="str">
        <x:v>S101</x:v>
      </x:c>
      <x:c r="B102" s="24" t="str">
        <x:v>PC01</x:v>
      </x:c>
      <x:c r="C102" s="24" t="str">
        <x:v>S101_PC01.jpeg</x:v>
      </x:c>
      <x:c r="D102" s="24" t="str">
        <x:v>images/picture_completion/S101_PC01.jpeg</x:v>
      </x:c>
      <x:c r="E102" s="24" t="str">
        <x:v>S101_PC01.jpeg</x:v>
      </x:c>
      <x:c r="F102" s="24" t="n">
        <x:v>960</x:v>
      </x:c>
      <x:c r="G102" s="24" t="n">
        <x:v>1280</x:v>
      </x:c>
      <x:c r="H102" s="25" t="n">
        <x:f>IF(G102=0,"",F102/G102)</x:f>
        <x:v>0.75</x:v>
      </x:c>
      <x:c r="I102" s="24" t="str">
        <x:v>portrait</x:v>
      </x:c>
      <x:c r="J102" s="26" t="n">
        <x:v>77.4</x:v>
      </x:c>
      <x:c r="K102" s="24" t="str">
        <x:v>Smiling sun with multicolored rays and background motifs</x:v>
      </x:c>
      <x:c r="L102" s="24" t="str">
        <x:v>yellow; blue; purple; orange; pink; red; green; black</x:v>
      </x:c>
      <x:c r="M102" s="24" t="str">
        <x:v>yellow; multicolored rays</x:v>
      </x:c>
      <x:c r="N102" s="24" t="n">
        <x:v>8</x:v>
      </x:c>
      <x:c r="O102" s="24" t="str">
        <x:v>Smiling sun face, many colored pointed rays, blue ray-tip dots, faint clouds and small background motifs</x:v>
      </x:c>
      <x:c r="P102" s="24" t="str">
        <x:v>sun-character scene transformation</x:v>
      </x:c>
      <x:c r="Q102" s="24" t="str">
        <x:v>Expressive face, many individually colored rays and several background additions</x:v>
      </x:c>
      <x:c r="R102" s="24" t="str">
        <x:v>One main sun idea with decorative and background variations</x:v>
      </x:c>
      <x:c r="S102" s="24" t="str">
        <x:v>Common sun idea but distinctive multicolored rays and extra motifs</x:v>
      </x:c>
      <x:c r="T102" s="24" t="str">
        <x:v>Wide color variety with strong yellow center</x:v>
      </x:c>
      <x:c r="U102" s="24" t="str">
        <x:v>Create a story about the colorful sun and add weather, animals or people</x:v>
      </x:c>
      <x:c r="V102" s="24"/>
      <x:c r="W102" s="24"/>
      <x:c r="X102" s="24" t="str">
        <x:v>unassigned</x:v>
      </x:c>
      <x:c r="Y102" s="24" t="n">
        <x:v>4</x:v>
      </x:c>
      <x:c r="Z102" s="24" t="n">
        <x:v>5</x:v>
      </x:c>
      <x:c r="AA102" s="24" t="n">
        <x:v>4</x:v>
      </x:c>
      <x:c r="AB102" s="24" t="n">
        <x:v>4</x:v>
      </x:c>
      <x:c r="AC102" s="24" t="n">
        <x:f>SUM(Y102:AB102)</x:f>
        <x:v>17</x:v>
      </x:c>
      <x:c r="AD102" s="25" t="n">
        <x:f>AVERAGE(Y102:AB102)</x:f>
        <x:v>4.25</x:v>
      </x:c>
      <x:c r="AE102" s="24" t="str">
        <x:f>IF(AD102&gt;=4.5,"Very High",IF(AD102&gt;=3.5,"High",IF(AD102&gt;=2.5,"Moderate",IF(AD102&gt;=1.5,"Developing","Low"))))</x:f>
        <x:v>High</x:v>
      </x:c>
      <x:c r="AF102" s="24" t="str">
        <x:v>Strong elaboration and color variety; originality is good although the sun concept is familiar.</x:v>
      </x:c>
      <x:c r="AG102" s="24" t="str">
        <x:v>PRELIMINARY_ONLY</x:v>
      </x:c>
      <x:c r="AH102" s="24" t="str">
        <x:v>Visual review of uploaded drawing; color counts are approximate. Assistant scores are preliminary and require human validation.</x:v>
      </x:c>
      <x:c r="AI102" s="24" t="str">
        <x:v>train</x:v>
      </x:c>
      <x:c r="AJ102" s="24"/>
      <x:c r="AK102" s="24"/>
      <x:c r="AL102" s="24"/>
      <x:c r="AM102" s="24"/>
      <x:c r="AN102" s="24"/>
      <x:c r="AO102" s="24" t="str">
        <x:v>descriptive_only_needs_human_scoring</x:v>
      </x:c>
      <x:c r="AP102" s="24" t="str">
        <x:f>IF(COUNT(AJ102:AM102)=4,"FINAL HUMAN-LABEL READY","PROTOTYPE ONLY - HUMAN VALIDATION REQUIRED")</x:f>
        <x:v>PROTOTYPE ONLY - HUMAN VALIDATION REQUIRED</x:v>
      </x:c>
    </x:row>
    <x:row r="103" ht="34" customHeight="1">
      <x:c r="A103" s="24" t="str">
        <x:v>S102</x:v>
      </x:c>
      <x:c r="B103" s="24" t="str">
        <x:v>PC01</x:v>
      </x:c>
      <x:c r="C103" s="24" t="str">
        <x:v>S102_PC01.jpeg</x:v>
      </x:c>
      <x:c r="D103" s="24" t="str">
        <x:v>images/picture_completion/S102_PC01.jpeg</x:v>
      </x:c>
      <x:c r="E103" s="24" t="str">
        <x:v>S102_PC01.jpeg</x:v>
      </x:c>
      <x:c r="F103" s="24" t="n">
        <x:v>960</x:v>
      </x:c>
      <x:c r="G103" s="24" t="n">
        <x:v>1280</x:v>
      </x:c>
      <x:c r="H103" s="25" t="n">
        <x:f>IF(G103=0,"",F103/G103)</x:f>
        <x:v>0.75</x:v>
      </x:c>
      <x:c r="I103" s="24" t="str">
        <x:v>portrait</x:v>
      </x:c>
      <x:c r="J103" s="26" t="n">
        <x:v>81.4</x:v>
      </x:c>
      <x:c r="K103" s="24" t="str">
        <x:v>Flower or sunflower-like form in a simple landscape</x:v>
      </x:c>
      <x:c r="L103" s="24" t="str">
        <x:v>red; brown; yellow; green; gray</x:v>
      </x:c>
      <x:c r="M103" s="24" t="str">
        <x:v>red/brown; yellow; green</x:v>
      </x:c>
      <x:c r="N103" s="24" t="n">
        <x:v>5</x:v>
      </x:c>
      <x:c r="O103" s="24" t="str">
        <x:v>Large red-brown center, yellow scalloped petals, green stem and triangular side forms</x:v>
      </x:c>
      <x:c r="P103" s="24" t="str">
        <x:v>flower/plant transformation</x:v>
      </x:c>
      <x:c r="Q103" s="24" t="str">
        <x:v>Flower center, petal border, long stem and supporting landscape shapes</x:v>
      </x:c>
      <x:c r="R103" s="24" t="str">
        <x:v>One main flower idea with a few related additions</x:v>
      </x:c>
      <x:c r="S103" s="24" t="str">
        <x:v>Moderately distinctive; clear plant transformation but conventional concept</x:v>
      </x:c>
      <x:c r="T103" s="24" t="str">
        <x:v>Warm center with yellow and green supporting forms</x:v>
      </x:c>
      <x:c r="U103" s="24" t="str">
        <x:v>Add leaves, insects and other flowers, then explain the garden</x:v>
      </x:c>
      <x:c r="V103" s="24"/>
      <x:c r="W103" s="24"/>
      <x:c r="X103" s="24" t="str">
        <x:v>unassigned</x:v>
      </x:c>
      <x:c r="Y103" s="24" t="n">
        <x:v>3</x:v>
      </x:c>
      <x:c r="Z103" s="24" t="n">
        <x:v>4</x:v>
      </x:c>
      <x:c r="AA103" s="24" t="n">
        <x:v>3</x:v>
      </x:c>
      <x:c r="AB103" s="24" t="n">
        <x:v>3</x:v>
      </x:c>
      <x:c r="AC103" s="24" t="n">
        <x:f>SUM(Y103:AB103)</x:f>
        <x:v>13</x:v>
      </x:c>
      <x:c r="AD103" s="25" t="n">
        <x:f>AVERAGE(Y103:AB103)</x:f>
        <x:v>3.25</x:v>
      </x:c>
      <x:c r="AE103" s="24" t="str">
        <x:f>IF(AD103&gt;=4.5,"Very High",IF(AD103&gt;=3.5,"High",IF(AD103&gt;=2.5,"Moderate",IF(AD103&gt;=1.5,"Developing","Low"))))</x:f>
        <x:v>Moderate</x:v>
      </x:c>
      <x:c r="AF103" s="24" t="str">
        <x:v>Clear and reasonably detailed flower transformation with limited idea variety.</x:v>
      </x:c>
      <x:c r="AG103" s="24" t="str">
        <x:v>PRELIMINARY_ONLY</x:v>
      </x:c>
      <x:c r="AH103" s="24" t="str">
        <x:v>Visual review of uploaded drawing; color counts are approximate. Assistant scores are preliminary and require human validation.</x:v>
      </x:c>
      <x:c r="AI103" s="24" t="str">
        <x:v>train</x:v>
      </x:c>
      <x:c r="AJ103" s="24"/>
      <x:c r="AK103" s="24"/>
      <x:c r="AL103" s="24"/>
      <x:c r="AM103" s="24"/>
      <x:c r="AN103" s="24"/>
      <x:c r="AO103" s="24" t="str">
        <x:v>descriptive_only_needs_human_scoring</x:v>
      </x:c>
      <x:c r="AP103" s="24" t="str">
        <x:f>IF(COUNT(AJ103:AM103)=4,"FINAL HUMAN-LABEL READY","PROTOTYPE ONLY - HUMAN VALIDATION REQUIRED")</x:f>
        <x:v>PROTOTYPE ONLY - HUMAN VALIDATION REQUIRED</x:v>
      </x:c>
    </x:row>
    <x:row r="104" ht="34" customHeight="1">
      <x:c r="A104" s="24" t="str">
        <x:v>S103</x:v>
      </x:c>
      <x:c r="B104" s="24" t="str">
        <x:v>PC01</x:v>
      </x:c>
      <x:c r="C104" s="24" t="str">
        <x:v>S103_PC01.jpeg</x:v>
      </x:c>
      <x:c r="D104" s="24" t="str">
        <x:v>images/picture_completion/S103_PC01.jpeg</x:v>
      </x:c>
      <x:c r="E104" s="24" t="str">
        <x:v>S103_PC01.jpeg</x:v>
      </x:c>
      <x:c r="F104" s="24" t="n">
        <x:v>960</x:v>
      </x:c>
      <x:c r="G104" s="24" t="n">
        <x:v>1280</x:v>
      </x:c>
      <x:c r="H104" s="25" t="n">
        <x:f>IF(G104=0,"",F104/G104)</x:f>
        <x:v>0.75</x:v>
      </x:c>
      <x:c r="I104" s="24" t="str">
        <x:v>portrait</x:v>
      </x:c>
      <x:c r="J104" s="26" t="n">
        <x:v>100.7</x:v>
      </x:c>
      <x:c r="K104" s="24" t="str">
        <x:v>Fantasy garden or decorated ice-cream-cone scene</x:v>
      </x:c>
      <x:c r="L104" s="24" t="str">
        <x:v>purple; pink; green; blue; yellow; brown; red; orange</x:v>
      </x:c>
      <x:c r="M104" s="24" t="str">
        <x:v>purple; pink; green; brown</x:v>
      </x:c>
      <x:c r="N104" s="24" t="n">
        <x:v>8</x:v>
      </x:c>
      <x:c r="O104" s="24" t="str">
        <x:v>Decorated purple central form with cone-like base plus clouds, sun, hearts, plants and many surrounding objects</x:v>
      </x:c>
      <x:c r="P104" s="24" t="str">
        <x:v>fantasy object-in-scene transformation</x:v>
      </x:c>
      <x:c r="Q104" s="24" t="str">
        <x:v>Dense central decoration and many independent scene elements across the page</x:v>
      </x:c>
      <x:c r="R104" s="24" t="str">
        <x:v>Multiple idea categories combined in one scene</x:v>
      </x:c>
      <x:c r="S104" s="24" t="str">
        <x:v>Highly distinctive and much more elaborate than a simple circle completion</x:v>
      </x:c>
      <x:c r="T104" s="24" t="str">
        <x:v>Extensive multicolor use across the whole composition</x:v>
      </x:c>
      <x:c r="U104" s="24" t="str">
        <x:v>Name each object and create a story connecting the central object and surrounding scene</x:v>
      </x:c>
      <x:c r="V104" s="24"/>
      <x:c r="W104" s="24"/>
      <x:c r="X104" s="24" t="str">
        <x:v>unassigned</x:v>
      </x:c>
      <x:c r="Y104" s="24" t="n">
        <x:v>5</x:v>
      </x:c>
      <x:c r="Z104" s="24" t="n">
        <x:v>5</x:v>
      </x:c>
      <x:c r="AA104" s="24" t="n">
        <x:v>5</x:v>
      </x:c>
      <x:c r="AB104" s="24" t="n">
        <x:v>5</x:v>
      </x:c>
      <x:c r="AC104" s="24" t="n">
        <x:f>SUM(Y104:AB104)</x:f>
        <x:v>20</x:v>
      </x:c>
      <x:c r="AD104" s="25" t="n">
        <x:f>AVERAGE(Y104:AB104)</x:f>
        <x:v>5</x:v>
      </x:c>
      <x:c r="AE104" s="24" t="str">
        <x:f>IF(AD104&gt;=4.5,"Very High",IF(AD104&gt;=3.5,"High",IF(AD104&gt;=2.5,"Moderate",IF(AD104&gt;=1.5,"Developing","Low"))))</x:f>
        <x:v>Very High</x:v>
      </x:c>
      <x:c r="AF104" s="24" t="str">
        <x:v>Very strong transformation, imagination, elaboration and idea variety.</x:v>
      </x:c>
      <x:c r="AG104" s="24" t="str">
        <x:v>PRELIMINARY_ONLY</x:v>
      </x:c>
      <x:c r="AH104" s="24" t="str">
        <x:v>Visual review of uploaded drawing; color counts are approximate. Assistant scores are preliminary and require human validation.</x:v>
      </x:c>
      <x:c r="AI104" s="24" t="str">
        <x:v>train</x:v>
      </x:c>
      <x:c r="AJ104" s="24"/>
      <x:c r="AK104" s="24"/>
      <x:c r="AL104" s="24"/>
      <x:c r="AM104" s="24"/>
      <x:c r="AN104" s="24"/>
      <x:c r="AO104" s="24" t="str">
        <x:v>descriptive_only_needs_human_scoring</x:v>
      </x:c>
      <x:c r="AP104" s="24" t="str">
        <x:f>IF(COUNT(AJ104:AM104)=4,"FINAL HUMAN-LABEL READY","PROTOTYPE ONLY - HUMAN VALIDATION REQUIRED")</x:f>
        <x:v>PROTOTYPE ONLY - HUMAN VALIDATION REQUIRED</x:v>
      </x:c>
    </x:row>
    <x:row r="105" ht="34" customHeight="1">
      <x:c r="A105" s="24" t="str">
        <x:v>S104</x:v>
      </x:c>
      <x:c r="B105" s="24" t="str">
        <x:v>PC01</x:v>
      </x:c>
      <x:c r="C105" s="24" t="str">
        <x:v>S104_PC01.jpeg</x:v>
      </x:c>
      <x:c r="D105" s="24" t="str">
        <x:v>images/picture_completion/S104_PC01.jpeg</x:v>
      </x:c>
      <x:c r="E105" s="24" t="str">
        <x:v>S104_PC01.jpeg</x:v>
      </x:c>
      <x:c r="F105" s="24" t="n">
        <x:v>960</x:v>
      </x:c>
      <x:c r="G105" s="24" t="n">
        <x:v>1280</x:v>
      </x:c>
      <x:c r="H105" s="25" t="n">
        <x:f>IF(G105=0,"",F105/G105)</x:f>
        <x:v>0.75</x:v>
      </x:c>
      <x:c r="I105" s="24" t="str">
        <x:v>portrait</x:v>
      </x:c>
      <x:c r="J105" s="26" t="n">
        <x:v>70.8</x:v>
      </x:c>
      <x:c r="K105" s="24" t="str">
        <x:v>Smiling sun above a small garden or village scene</x:v>
      </x:c>
      <x:c r="L105" s="24" t="str">
        <x:v>yellow; blue; green; brown; red; black</x:v>
      </x:c>
      <x:c r="M105" s="24" t="str">
        <x:v>yellow; green; brown; blue</x:v>
      </x:c>
      <x:c r="N105" s="24" t="n">
        <x:v>6</x:v>
      </x:c>
      <x:c r="O105" s="24" t="str">
        <x:v>Sun face and rays with blue clouds, green ground, tree/plant forms, flowers and small structures</x:v>
      </x:c>
      <x:c r="P105" s="24" t="str">
        <x:v>sun-and-landscape transformation</x:v>
      </x:c>
      <x:c r="Q105" s="24" t="str">
        <x:v>Face, rays, clouds, ground and several lower-scene details</x:v>
      </x:c>
      <x:c r="R105" s="24" t="str">
        <x:v>One main sun idea plus several environmental elements</x:v>
      </x:c>
      <x:c r="S105" s="24" t="str">
        <x:v>More distinctive than a basic sun because a full lower scene was added</x:v>
      </x:c>
      <x:c r="T105" s="24" t="str">
        <x:v>Balanced bright sky and ground colors</x:v>
      </x:c>
      <x:c r="U105" s="24" t="str">
        <x:v>Add people or animals and explain what is happening below the sun</x:v>
      </x:c>
      <x:c r="V105" s="24"/>
      <x:c r="W105" s="24"/>
      <x:c r="X105" s="24" t="str">
        <x:v>unassigned</x:v>
      </x:c>
      <x:c r="Y105" s="24" t="n">
        <x:v>4</x:v>
      </x:c>
      <x:c r="Z105" s="24" t="n">
        <x:v>4</x:v>
      </x:c>
      <x:c r="AA105" s="24" t="n">
        <x:v>4</x:v>
      </x:c>
      <x:c r="AB105" s="24" t="n">
        <x:v>4</x:v>
      </x:c>
      <x:c r="AC105" s="24" t="n">
        <x:f>SUM(Y105:AB105)</x:f>
        <x:v>16</x:v>
      </x:c>
      <x:c r="AD105" s="25" t="n">
        <x:f>AVERAGE(Y105:AB105)</x:f>
        <x:v>4</x:v>
      </x:c>
      <x:c r="AE105" s="24" t="str">
        <x:f>IF(AD105&gt;=4.5,"Very High",IF(AD105&gt;=3.5,"High",IF(AD105&gt;=2.5,"Moderate",IF(AD105&gt;=1.5,"Developing","Low"))))</x:f>
        <x:v>High</x:v>
      </x:c>
      <x:c r="AF105" s="24" t="str">
        <x:v>Familiar sun idea strengthened by coherent environmental scene building.</x:v>
      </x:c>
      <x:c r="AG105" s="24" t="str">
        <x:v>PRELIMINARY_ONLY</x:v>
      </x:c>
      <x:c r="AH105" s="24" t="str">
        <x:v>Visual review of uploaded drawing; color counts are approximate. Assistant scores are preliminary and require human validation.</x:v>
      </x:c>
      <x:c r="AI105" s="24" t="str">
        <x:v>validation</x:v>
      </x:c>
      <x:c r="AJ105" s="24"/>
      <x:c r="AK105" s="24"/>
      <x:c r="AL105" s="24"/>
      <x:c r="AM105" s="24"/>
      <x:c r="AN105" s="24"/>
      <x:c r="AO105" s="24" t="str">
        <x:v>descriptive_only_needs_human_scoring</x:v>
      </x:c>
      <x:c r="AP105" s="24" t="str">
        <x:f>IF(COUNT(AJ105:AM105)=4,"FINAL HUMAN-LABEL READY","PROTOTYPE ONLY - HUMAN VALIDATION REQUIRED")</x:f>
        <x:v>PROTOTYPE ONLY - HUMAN VALIDATION REQUIRED</x:v>
      </x:c>
    </x:row>
    <x:row r="106" ht="34" customHeight="1">
      <x:c r="A106" s="24" t="str">
        <x:v>S105</x:v>
      </x:c>
      <x:c r="B106" s="24" t="str">
        <x:v>PC01</x:v>
      </x:c>
      <x:c r="C106" s="24" t="str">
        <x:v>S105_PC01.jpeg</x:v>
      </x:c>
      <x:c r="D106" s="24" t="str">
        <x:v>images/picture_completion/S105_PC01.jpeg</x:v>
      </x:c>
      <x:c r="E106" s="24" t="str">
        <x:v>S105_PC01.jpeg</x:v>
      </x:c>
      <x:c r="F106" s="24" t="n">
        <x:v>960</x:v>
      </x:c>
      <x:c r="G106" s="24" t="n">
        <x:v>1280</x:v>
      </x:c>
      <x:c r="H106" s="25" t="n">
        <x:f>IF(G106=0,"",F106/G106)</x:f>
        <x:v>0.75</x:v>
      </x:c>
      <x:c r="I106" s="24" t="str">
        <x:v>portrait</x:v>
      </x:c>
      <x:c r="J106" s="26" t="n">
        <x:v>88</x:v>
      </x:c>
      <x:c r="K106" s="24" t="str">
        <x:v>Decorative sun with heart-patterned rays and sky symbols</x:v>
      </x:c>
      <x:c r="L106" s="24" t="str">
        <x:v>yellow; pink; blue; green; red; black</x:v>
      </x:c>
      <x:c r="M106" s="24" t="str">
        <x:v>yellow; pink; blue</x:v>
      </x:c>
      <x:c r="N106" s="24" t="n">
        <x:v>6</x:v>
      </x:c>
      <x:c r="O106" s="24" t="str">
        <x:v>Expressive sun face, long rays decorated with hearts, clouds, rainbow-like arcs and crescent forms</x:v>
      </x:c>
      <x:c r="P106" s="24" t="str">
        <x:v>decorative sun-character transformation</x:v>
      </x:c>
      <x:c r="Q106" s="24" t="str">
        <x:v>Detailed face, repeated heart motifs and several sky-related symbols</x:v>
      </x:c>
      <x:c r="R106" s="24" t="str">
        <x:v>Sun character plus decorative patterning and multiple sky ideas</x:v>
      </x:c>
      <x:c r="S106" s="24" t="str">
        <x:v>Distinctive combination of sun, hearts and surrounding sky symbols</x:v>
      </x:c>
      <x:c r="T106" s="24" t="str">
        <x:v>Bright yellow with coordinated pink and blue accents</x:v>
      </x:c>
      <x:c r="U106" s="24" t="str">
        <x:v>Invent a story about the special sun and add characters reacting to the weather</x:v>
      </x:c>
      <x:c r="V106" s="24"/>
      <x:c r="W106" s="24"/>
      <x:c r="X106" s="24" t="str">
        <x:v>unassigned</x:v>
      </x:c>
      <x:c r="Y106" s="24" t="n">
        <x:v>4</x:v>
      </x:c>
      <x:c r="Z106" s="24" t="n">
        <x:v>5</x:v>
      </x:c>
      <x:c r="AA106" s="24" t="n">
        <x:v>5</x:v>
      </x:c>
      <x:c r="AB106" s="24" t="n">
        <x:v>5</x:v>
      </x:c>
      <x:c r="AC106" s="24" t="n">
        <x:f>SUM(Y106:AB106)</x:f>
        <x:v>19</x:v>
      </x:c>
      <x:c r="AD106" s="25" t="n">
        <x:f>AVERAGE(Y106:AB106)</x:f>
        <x:v>4.75</x:v>
      </x:c>
      <x:c r="AE106" s="24" t="str">
        <x:f>IF(AD106&gt;=4.5,"Very High",IF(AD106&gt;=3.5,"High",IF(AD106&gt;=2.5,"Moderate",IF(AD106&gt;=1.5,"Developing","Low"))))</x:f>
        <x:v>Very High</x:v>
      </x:c>
      <x:c r="AF106" s="24" t="str">
        <x:v>Unusual heart-patterned rays and varied sky symbols show strong imagination and flexibility.</x:v>
      </x:c>
      <x:c r="AG106" s="24" t="str">
        <x:v>PRELIMINARY_ONLY</x:v>
      </x:c>
      <x:c r="AH106" s="24" t="str">
        <x:v>Visual review of uploaded drawing; color counts are approximate. Assistant scores are preliminary and require human validation.</x:v>
      </x:c>
      <x:c r="AI106" s="24" t="str">
        <x:v>train</x:v>
      </x:c>
      <x:c r="AJ106" s="24"/>
      <x:c r="AK106" s="24"/>
      <x:c r="AL106" s="24"/>
      <x:c r="AM106" s="24"/>
      <x:c r="AN106" s="24"/>
      <x:c r="AO106" s="24" t="str">
        <x:v>descriptive_only_needs_human_scoring</x:v>
      </x:c>
      <x:c r="AP106" s="24" t="str">
        <x:f>IF(COUNT(AJ106:AM106)=4,"FINAL HUMAN-LABEL READY","PROTOTYPE ONLY - HUMAN VALIDATION REQUIRED")</x:f>
        <x:v>PROTOTYPE ONLY - HUMAN VALIDATION REQUIRED</x:v>
      </x:c>
    </x:row>
    <x:row r="107" ht="34" customHeight="1">
      <x:c r="A107" s="24" t="str">
        <x:v>S106</x:v>
      </x:c>
      <x:c r="B107" s="24" t="str">
        <x:v>PC01</x:v>
      </x:c>
      <x:c r="C107" s="24" t="str">
        <x:v>S106_PC01.jpeg</x:v>
      </x:c>
      <x:c r="D107" s="24" t="str">
        <x:v>images/picture_completion/S106_PC01.jpeg</x:v>
      </x:c>
      <x:c r="E107" s="24" t="str">
        <x:v>S106_PC01.jpeg</x:v>
      </x:c>
      <x:c r="F107" s="24" t="n">
        <x:v>960</x:v>
      </x:c>
      <x:c r="G107" s="24" t="n">
        <x:v>1280</x:v>
      </x:c>
      <x:c r="H107" s="25" t="n">
        <x:f>IF(G107=0,"",F107/G107)</x:f>
        <x:v>0.75</x:v>
      </x:c>
      <x:c r="I107" s="24" t="str">
        <x:v>portrait</x:v>
      </x:c>
      <x:c r="J107" s="26" t="n">
        <x:v>67.2</x:v>
      </x:c>
      <x:c r="K107" s="24" t="str">
        <x:v>Colorful flower character with rainbow and surrounding symbols</x:v>
      </x:c>
      <x:c r="L107" s="24" t="str">
        <x:v>red; purple; pink; green; blue; orange; yellow</x:v>
      </x:c>
      <x:c r="M107" s="24" t="str">
        <x:v>red; purple; green; blue</x:v>
      </x:c>
      <x:c r="N107" s="24" t="n">
        <x:v>7</x:v>
      </x:c>
      <x:c r="O107" s="24" t="str">
        <x:v>Red flower face, large multicolored petals, rainbow, ground and surrounding marks</x:v>
      </x:c>
      <x:c r="P107" s="24" t="str">
        <x:v>flower-character scene transformation</x:v>
      </x:c>
      <x:c r="Q107" s="24" t="str">
        <x:v>Face, varied petals, rainbow and additional scene elements</x:v>
      </x:c>
      <x:c r="R107" s="24" t="str">
        <x:v>One main flower character with several decorative additions</x:v>
      </x:c>
      <x:c r="S107" s="24" t="str">
        <x:v>Moderately distinctive due to bold colors and rainbow context</x:v>
      </x:c>
      <x:c r="T107" s="24" t="str">
        <x:v>Strong multicolor contrast</x:v>
      </x:c>
      <x:c r="U107" s="24" t="str">
        <x:v>Create a story about the flower and rainbow and add insects or other plants</x:v>
      </x:c>
      <x:c r="V107" s="24"/>
      <x:c r="W107" s="24"/>
      <x:c r="X107" s="24" t="str">
        <x:v>unassigned</x:v>
      </x:c>
      <x:c r="Y107" s="24" t="n">
        <x:v>4</x:v>
      </x:c>
      <x:c r="Z107" s="24" t="n">
        <x:v>4</x:v>
      </x:c>
      <x:c r="AA107" s="24" t="n">
        <x:v>4</x:v>
      </x:c>
      <x:c r="AB107" s="24" t="n">
        <x:v>4</x:v>
      </x:c>
      <x:c r="AC107" s="24" t="n">
        <x:f>SUM(Y107:AB107)</x:f>
        <x:v>16</x:v>
      </x:c>
      <x:c r="AD107" s="25" t="n">
        <x:f>AVERAGE(Y107:AB107)</x:f>
        <x:v>4</x:v>
      </x:c>
      <x:c r="AE107" s="24" t="str">
        <x:f>IF(AD107&gt;=4.5,"Very High",IF(AD107&gt;=3.5,"High",IF(AD107&gt;=2.5,"Moderate",IF(AD107&gt;=1.5,"Developing","Low"))))</x:f>
        <x:v>High</x:v>
      </x:c>
      <x:c r="AF107" s="24" t="str">
        <x:v>Visually rich flower character with good scene support and moderate originality.</x:v>
      </x:c>
      <x:c r="AG107" s="24" t="str">
        <x:v>PRELIMINARY_ONLY</x:v>
      </x:c>
      <x:c r="AH107" s="24" t="str">
        <x:v>Visual review of uploaded drawing; color counts are approximate. Assistant scores are preliminary and require human validation.</x:v>
      </x:c>
      <x:c r="AI107" s="24" t="str">
        <x:v>train</x:v>
      </x:c>
      <x:c r="AJ107" s="24"/>
      <x:c r="AK107" s="24"/>
      <x:c r="AL107" s="24"/>
      <x:c r="AM107" s="24"/>
      <x:c r="AN107" s="24"/>
      <x:c r="AO107" s="24" t="str">
        <x:v>descriptive_only_needs_human_scoring</x:v>
      </x:c>
      <x:c r="AP107" s="24" t="str">
        <x:f>IF(COUNT(AJ107:AM107)=4,"FINAL HUMAN-LABEL READY","PROTOTYPE ONLY - HUMAN VALIDATION REQUIRED")</x:f>
        <x:v>PROTOTYPE ONLY - HUMAN VALIDATION REQUIRED</x:v>
      </x:c>
    </x:row>
    <x:row r="108" ht="34" customHeight="1">
      <x:c r="A108" s="24" t="str">
        <x:v>S107</x:v>
      </x:c>
      <x:c r="B108" s="24" t="str">
        <x:v>PC01</x:v>
      </x:c>
      <x:c r="C108" s="24" t="str">
        <x:v>S107_PC01.jpeg</x:v>
      </x:c>
      <x:c r="D108" s="24" t="str">
        <x:v>images/picture_completion/S107_PC01.jpeg</x:v>
      </x:c>
      <x:c r="E108" s="24" t="str">
        <x:v>S107_PC01.jpeg</x:v>
      </x:c>
      <x:c r="F108" s="24" t="n">
        <x:v>960</x:v>
      </x:c>
      <x:c r="G108" s="24" t="n">
        <x:v>1280</x:v>
      </x:c>
      <x:c r="H108" s="25" t="n">
        <x:f>IF(G108=0,"",F108/G108)</x:f>
        <x:v>0.75</x:v>
      </x:c>
      <x:c r="I108" s="24" t="str">
        <x:v>portrait</x:v>
      </x:c>
      <x:c r="J108" s="26" t="n">
        <x:v>121.8</x:v>
      </x:c>
      <x:c r="K108" s="24" t="str">
        <x:v>Simple smiling sun against a blue sky</x:v>
      </x:c>
      <x:c r="L108" s="24" t="str">
        <x:v>yellow; blue; black</x:v>
      </x:c>
      <x:c r="M108" s="24" t="str">
        <x:v>blue; yellow</x:v>
      </x:c>
      <x:c r="N108" s="24" t="n">
        <x:v>3</x:v>
      </x:c>
      <x:c r="O108" s="24" t="str">
        <x:v>Yellow smiling sun, short dark rays and blue-filled background</x:v>
      </x:c>
      <x:c r="P108" s="24" t="str">
        <x:v>sun transformation</x:v>
      </x:c>
      <x:c r="Q108" s="24" t="str">
        <x:v>Face, repeated rays and full background fill</x:v>
      </x:c>
      <x:c r="R108" s="24" t="str">
        <x:v>One main idea</x:v>
      </x:c>
      <x:c r="S108" s="24" t="str">
        <x:v>Low-to-moderate distinctiveness because the idea is very common</x:v>
      </x:c>
      <x:c r="T108" s="24" t="str">
        <x:v>Simple three-color palette with heavy blue coverage</x:v>
      </x:c>
      <x:c r="U108" s="24" t="str">
        <x:v>Turn the same circle into a completely different object or character</x:v>
      </x:c>
      <x:c r="V108" s="24"/>
      <x:c r="W108" s="24"/>
      <x:c r="X108" s="24" t="str">
        <x:v>unassigned</x:v>
      </x:c>
      <x:c r="Y108" s="24" t="n">
        <x:v>2</x:v>
      </x:c>
      <x:c r="Z108" s="24" t="n">
        <x:v>3</x:v>
      </x:c>
      <x:c r="AA108" s="24" t="n">
        <x:v>3</x:v>
      </x:c>
      <x:c r="AB108" s="24" t="n">
        <x:v>2</x:v>
      </x:c>
      <x:c r="AC108" s="24" t="n">
        <x:f>SUM(Y108:AB108)</x:f>
        <x:v>10</x:v>
      </x:c>
      <x:c r="AD108" s="25" t="n">
        <x:f>AVERAGE(Y108:AB108)</x:f>
        <x:v>2.5</x:v>
      </x:c>
      <x:c r="AE108" s="24" t="str">
        <x:f>IF(AD108&gt;=4.5,"Very High",IF(AD108&gt;=3.5,"High",IF(AD108&gt;=2.5,"Moderate",IF(AD108&gt;=1.5,"Developing","Low"))))</x:f>
        <x:v>Moderate</x:v>
      </x:c>
      <x:c r="AF108" s="24" t="str">
        <x:v>Clear and complete but conventional, with limited idea variety.</x:v>
      </x:c>
      <x:c r="AG108" s="24" t="str">
        <x:v>PRELIMINARY_ONLY</x:v>
      </x:c>
      <x:c r="AH108" s="24" t="str">
        <x:v>Visual review of uploaded drawing; color counts are approximate. Assistant scores are preliminary and require human validation.</x:v>
      </x:c>
      <x:c r="AI108" s="24" t="str">
        <x:v>validation</x:v>
      </x:c>
      <x:c r="AJ108" s="24"/>
      <x:c r="AK108" s="24"/>
      <x:c r="AL108" s="24"/>
      <x:c r="AM108" s="24"/>
      <x:c r="AN108" s="24"/>
      <x:c r="AO108" s="24" t="str">
        <x:v>descriptive_only_needs_human_scoring</x:v>
      </x:c>
      <x:c r="AP108" s="24" t="str">
        <x:f>IF(COUNT(AJ108:AM108)=4,"FINAL HUMAN-LABEL READY","PROTOTYPE ONLY - HUMAN VALIDATION REQUIRED")</x:f>
        <x:v>PROTOTYPE ONLY - HUMAN VALIDATION REQUIRED</x:v>
      </x:c>
    </x:row>
    <x:row r="109" ht="34" customHeight="1">
      <x:c r="A109" s="24" t="str">
        <x:v>S108</x:v>
      </x:c>
      <x:c r="B109" s="24" t="str">
        <x:v>PC01</x:v>
      </x:c>
      <x:c r="C109" s="24" t="str">
        <x:v>S108_PC01.jpeg</x:v>
      </x:c>
      <x:c r="D109" s="24" t="str">
        <x:v>images/picture_completion/S108_PC01.jpeg</x:v>
      </x:c>
      <x:c r="E109" s="24" t="str">
        <x:v>S108_PC01.jpeg</x:v>
      </x:c>
      <x:c r="F109" s="24" t="n">
        <x:v>960</x:v>
      </x:c>
      <x:c r="G109" s="24" t="n">
        <x:v>1280</x:v>
      </x:c>
      <x:c r="H109" s="25" t="n">
        <x:f>IF(G109=0,"",F109/G109)</x:f>
        <x:v>0.75</x:v>
      </x:c>
      <x:c r="I109" s="24" t="str">
        <x:v>portrait</x:v>
      </x:c>
      <x:c r="J109" s="26" t="n">
        <x:v>135.5</x:v>
      </x:c>
      <x:c r="K109" s="24" t="str">
        <x:v>Sun with dense rays in a fully colored blue sky</x:v>
      </x:c>
      <x:c r="L109" s="24" t="str">
        <x:v>yellow; blue; black</x:v>
      </x:c>
      <x:c r="M109" s="24" t="str">
        <x:v>blue; yellow</x:v>
      </x:c>
      <x:c r="N109" s="24" t="n">
        <x:v>3</x:v>
      </x:c>
      <x:c r="O109" s="24" t="str">
        <x:v>Yellow circular sun, many dark radiating lines and dense blue background</x:v>
      </x:c>
      <x:c r="P109" s="24" t="str">
        <x:v>sun transformation</x:v>
      </x:c>
      <x:c r="Q109" s="24" t="str">
        <x:v>Many repeated rays and strong full-page background fill</x:v>
      </x:c>
      <x:c r="R109" s="24" t="str">
        <x:v>One main idea</x:v>
      </x:c>
      <x:c r="S109" s="24" t="str">
        <x:v>Low-to-moderate distinctiveness; visually strong but conceptually familiar</x:v>
      </x:c>
      <x:c r="T109" s="24" t="str">
        <x:v>High blue background coverage with yellow focal circle</x:v>
      </x:c>
      <x:c r="U109" s="24" t="str">
        <x:v>Create three different things from circles to encourage alternative ideas</x:v>
      </x:c>
      <x:c r="V109" s="24"/>
      <x:c r="W109" s="24"/>
      <x:c r="X109" s="24" t="str">
        <x:v>unassigned</x:v>
      </x:c>
      <x:c r="Y109" s="24" t="n">
        <x:v>2</x:v>
      </x:c>
      <x:c r="Z109" s="24" t="n">
        <x:v>3</x:v>
      </x:c>
      <x:c r="AA109" s="24" t="n">
        <x:v>3</x:v>
      </x:c>
      <x:c r="AB109" s="24" t="n">
        <x:v>2</x:v>
      </x:c>
      <x:c r="AC109" s="24" t="n">
        <x:f>SUM(Y109:AB109)</x:f>
        <x:v>10</x:v>
      </x:c>
      <x:c r="AD109" s="25" t="n">
        <x:f>AVERAGE(Y109:AB109)</x:f>
        <x:v>2.5</x:v>
      </x:c>
      <x:c r="AE109" s="24" t="str">
        <x:f>IF(AD109&gt;=4.5,"Very High",IF(AD109&gt;=3.5,"High",IF(AD109&gt;=2.5,"Moderate",IF(AD109&gt;=1.5,"Developing","Low"))))</x:f>
        <x:v>Moderate</x:v>
      </x:c>
      <x:c r="AF109" s="24" t="str">
        <x:v>Bold visually, but originality and flexibility are limited by the standard sun interpretation.</x:v>
      </x:c>
      <x:c r="AG109" s="24" t="str">
        <x:v>PRELIMINARY_ONLY</x:v>
      </x:c>
      <x:c r="AH109" s="24" t="str">
        <x:v>Visual review of uploaded drawing; color counts are approximate. Assistant scores are preliminary and require human validation.</x:v>
      </x:c>
      <x:c r="AI109" s="24" t="str">
        <x:v>validation</x:v>
      </x:c>
      <x:c r="AJ109" s="24"/>
      <x:c r="AK109" s="24"/>
      <x:c r="AL109" s="24"/>
      <x:c r="AM109" s="24"/>
      <x:c r="AN109" s="24"/>
      <x:c r="AO109" s="24" t="str">
        <x:v>descriptive_only_needs_human_scoring</x:v>
      </x:c>
      <x:c r="AP109" s="24" t="str">
        <x:f>IF(COUNT(AJ109:AM109)=4,"FINAL HUMAN-LABEL READY","PROTOTYPE ONLY - HUMAN VALIDATION REQUIRED")</x:f>
        <x:v>PROTOTYPE ONLY - HUMAN VALIDATION REQUIRED</x:v>
      </x:c>
    </x:row>
    <x:row r="110" ht="34" customHeight="1">
      <x:c r="A110" s="24" t="str">
        <x:v>S109</x:v>
      </x:c>
      <x:c r="B110" s="24" t="str">
        <x:v>PC01</x:v>
      </x:c>
      <x:c r="C110" s="24" t="str">
        <x:v>S109_PC01.jpeg</x:v>
      </x:c>
      <x:c r="D110" s="24" t="str">
        <x:v>images/picture_completion/S109_PC01.jpeg</x:v>
      </x:c>
      <x:c r="E110" s="24" t="str">
        <x:v>S109_PC01.jpeg</x:v>
      </x:c>
      <x:c r="F110" s="24" t="n">
        <x:v>960</x:v>
      </x:c>
      <x:c r="G110" s="24" t="n">
        <x:v>1280</x:v>
      </x:c>
      <x:c r="H110" s="25" t="n">
        <x:f>IF(G110=0,"",F110/G110)</x:f>
        <x:v>0.75</x:v>
      </x:c>
      <x:c r="I110" s="24" t="str">
        <x:v>portrait</x:v>
      </x:c>
      <x:c r="J110" s="26" t="n">
        <x:v>82.2</x:v>
      </x:c>
      <x:c r="K110" s="24" t="str">
        <x:v>Child character in a detailed outdoor scene</x:v>
      </x:c>
      <x:c r="L110" s="24" t="str">
        <x:v>skin tone; black; blue; green; brown; red; pink</x:v>
      </x:c>
      <x:c r="M110" s="24" t="str">
        <x:v>skin tone; black; blue; green</x:v>
      </x:c>
      <x:c r="N110" s="24" t="n">
        <x:v>7</x:v>
      </x:c>
      <x:c r="O110" s="24" t="str">
        <x:v>Large face with hair, blue body, ground, house, tree, flowers, clouds and small character forms</x:v>
      </x:c>
      <x:c r="P110" s="24" t="str">
        <x:v>human-character scene transformation</x:v>
      </x:c>
      <x:c r="Q110" s="24" t="str">
        <x:v>Detailed character plus many environmental and story elements</x:v>
      </x:c>
      <x:c r="R110" s="24" t="str">
        <x:v>Multiple idea categories combined coherently</x:v>
      </x:c>
      <x:c r="S110" s="24" t="str">
        <x:v>Highly distinctive complete character-and-environment transformation</x:v>
      </x:c>
      <x:c r="T110" s="24" t="str">
        <x:v>Wide naturalistic palette across figure and scene</x:v>
      </x:c>
      <x:c r="U110" s="24" t="str">
        <x:v>Tell who the character is, where they are going and what happens next</x:v>
      </x:c>
      <x:c r="V110" s="24"/>
      <x:c r="W110" s="24"/>
      <x:c r="X110" s="24" t="str">
        <x:v>unassigned</x:v>
      </x:c>
      <x:c r="Y110" s="24" t="n">
        <x:v>4</x:v>
      </x:c>
      <x:c r="Z110" s="24" t="n">
        <x:v>5</x:v>
      </x:c>
      <x:c r="AA110" s="24" t="n">
        <x:v>5</x:v>
      </x:c>
      <x:c r="AB110" s="24" t="n">
        <x:v>5</x:v>
      </x:c>
      <x:c r="AC110" s="24" t="n">
        <x:f>SUM(Y110:AB110)</x:f>
        <x:v>19</x:v>
      </x:c>
      <x:c r="AD110" s="25" t="n">
        <x:f>AVERAGE(Y110:AB110)</x:f>
        <x:v>4.75</x:v>
      </x:c>
      <x:c r="AE110" s="24" t="str">
        <x:f>IF(AD110&gt;=4.5,"Very High",IF(AD110&gt;=3.5,"High",IF(AD110&gt;=2.5,"Moderate",IF(AD110&gt;=1.5,"Developing","Low"))))</x:f>
        <x:v>Very High</x:v>
      </x:c>
      <x:c r="AF110" s="24" t="str">
        <x:v>Strong elaboration and flexibility from the many integrated scene elements.</x:v>
      </x:c>
      <x:c r="AG110" s="24" t="str">
        <x:v>PRELIMINARY_ONLY</x:v>
      </x:c>
      <x:c r="AH110" s="24" t="str">
        <x:v>Visual review of uploaded drawing; color counts are approximate. Assistant scores are preliminary and require human validation.</x:v>
      </x:c>
      <x:c r="AI110" s="24" t="str">
        <x:v>validation</x:v>
      </x:c>
      <x:c r="AJ110" s="24"/>
      <x:c r="AK110" s="24"/>
      <x:c r="AL110" s="24"/>
      <x:c r="AM110" s="24"/>
      <x:c r="AN110" s="24"/>
      <x:c r="AO110" s="24" t="str">
        <x:v>descriptive_only_needs_human_scoring</x:v>
      </x:c>
      <x:c r="AP110" s="24" t="str">
        <x:f>IF(COUNT(AJ110:AM110)=4,"FINAL HUMAN-LABEL READY","PROTOTYPE ONLY - HUMAN VALIDATION REQUIRED")</x:f>
        <x:v>PROTOTYPE ONLY - HUMAN VALIDATION REQUIRED</x:v>
      </x:c>
    </x:row>
    <x:row r="111" ht="34" customHeight="1">
      <x:c r="A111" s="24" t="str">
        <x:v>S110</x:v>
      </x:c>
      <x:c r="B111" s="24" t="str">
        <x:v>PC01</x:v>
      </x:c>
      <x:c r="C111" s="24" t="str">
        <x:v>S110_PC01.jpeg</x:v>
      </x:c>
      <x:c r="D111" s="24" t="str">
        <x:v>images/picture_completion/S110_PC01.jpeg</x:v>
      </x:c>
      <x:c r="E111" s="24" t="str">
        <x:v>S110_PC01.jpeg</x:v>
      </x:c>
      <x:c r="F111" s="24" t="n">
        <x:v>960</x:v>
      </x:c>
      <x:c r="G111" s="24" t="n">
        <x:v>1280</x:v>
      </x:c>
      <x:c r="H111" s="25" t="n">
        <x:f>IF(G111=0,"",F111/G111)</x:f>
        <x:v>0.75</x:v>
      </x:c>
      <x:c r="I111" s="24" t="str">
        <x:v>portrait</x:v>
      </x:c>
      <x:c r="J111" s="26" t="n">
        <x:v>61.4</x:v>
      </x:c>
      <x:c r="K111" s="24" t="str">
        <x:v>Composite fantasy scene inside a bear-like circular frame</x:v>
      </x:c>
      <x:c r="L111" s="24" t="str">
        <x:v>red; beige; yellow; brown; green; pink; black</x:v>
      </x:c>
      <x:c r="M111" s="24" t="str">
        <x:v>red; beige; brown</x:v>
      </x:c>
      <x:c r="N111" s="24" t="n">
        <x:v>7</x:v>
      </x:c>
      <x:c r="O111" s="24" t="str">
        <x:v>Circle split into contrasting areas with ear-like additions; tiny flower, crescent, sun, person/object and plant details</x:v>
      </x:c>
      <x:c r="P111" s="24" t="str">
        <x:v>composite scene transformation</x:v>
      </x:c>
      <x:c r="Q111" s="24" t="str">
        <x:v>Split composition, several miniature symbols and surrounding environmental details</x:v>
      </x:c>
      <x:c r="R111" s="24" t="str">
        <x:v>Several distinct ideas inside and outside the circle</x:v>
      </x:c>
      <x:c r="S111" s="24" t="str">
        <x:v>Highly distinctive because the circle acts as a container for multiple mini-scenes</x:v>
      </x:c>
      <x:c r="T111" s="24" t="str">
        <x:v>Several warm colors with green and dark accents</x:v>
      </x:c>
      <x:c r="U111" s="24" t="str">
        <x:v>Explain the two sides and create a story connecting all the symbols</x:v>
      </x:c>
      <x:c r="V111" s="24"/>
      <x:c r="W111" s="24"/>
      <x:c r="X111" s="24" t="str">
        <x:v>unassigned</x:v>
      </x:c>
      <x:c r="Y111" s="24" t="n">
        <x:v>5</x:v>
      </x:c>
      <x:c r="Z111" s="24" t="n">
        <x:v>5</x:v>
      </x:c>
      <x:c r="AA111" s="24" t="n">
        <x:v>5</x:v>
      </x:c>
      <x:c r="AB111" s="24" t="n">
        <x:v>5</x:v>
      </x:c>
      <x:c r="AC111" s="24" t="n">
        <x:f>SUM(Y111:AB111)</x:f>
        <x:v>20</x:v>
      </x:c>
      <x:c r="AD111" s="25" t="n">
        <x:f>AVERAGE(Y111:AB111)</x:f>
        <x:v>5</x:v>
      </x:c>
      <x:c r="AE111" s="24" t="str">
        <x:f>IF(AD111&gt;=4.5,"Very High",IF(AD111&gt;=3.5,"High",IF(AD111&gt;=2.5,"Moderate",IF(AD111&gt;=1.5,"Developing","Low"))))</x:f>
        <x:v>Very High</x:v>
      </x:c>
      <x:c r="AF111" s="24" t="str">
        <x:v>Complex reinterpretation with multiple mini-scenes and strong symbolic variety.</x:v>
      </x:c>
      <x:c r="AG111" s="24" t="str">
        <x:v>PRELIMINARY_ONLY</x:v>
      </x:c>
      <x:c r="AH111" s="24" t="str">
        <x:v>Visual review of uploaded drawing; color counts are approximate. Assistant scores are preliminary and require human validation.</x:v>
      </x:c>
      <x:c r="AI111" s="24" t="str">
        <x:v>train</x:v>
      </x:c>
      <x:c r="AJ111" s="24"/>
      <x:c r="AK111" s="24"/>
      <x:c r="AL111" s="24"/>
      <x:c r="AM111" s="24"/>
      <x:c r="AN111" s="24"/>
      <x:c r="AO111" s="24" t="str">
        <x:v>descriptive_only_needs_human_scoring</x:v>
      </x:c>
      <x:c r="AP111" s="24" t="str">
        <x:f>IF(COUNT(AJ111:AM111)=4,"FINAL HUMAN-LABEL READY","PROTOTYPE ONLY - HUMAN VALIDATION REQUIRED")</x:f>
        <x:v>PROTOTYPE ONLY - HUMAN VALIDATION REQUIRED</x:v>
      </x:c>
    </x:row>
    <x:row r="112" ht="34" customHeight="1">
      <x:c r="A112" s="24" t="str">
        <x:v>S111</x:v>
      </x:c>
      <x:c r="B112" s="24" t="str">
        <x:v>PC01</x:v>
      </x:c>
      <x:c r="C112" s="24" t="str">
        <x:v>S111_PC01.jpeg</x:v>
      </x:c>
      <x:c r="D112" s="24" t="str">
        <x:v>images/picture_completion/S111_PC01.jpeg</x:v>
      </x:c>
      <x:c r="E112" s="24" t="str">
        <x:v>S111_PC01.jpeg</x:v>
      </x:c>
      <x:c r="F112" s="24" t="n">
        <x:v>960</x:v>
      </x:c>
      <x:c r="G112" s="24" t="n">
        <x:v>1280</x:v>
      </x:c>
      <x:c r="H112" s="25" t="n">
        <x:f>IF(G112=0,"",F112/G112)</x:f>
        <x:v>0.75</x:v>
      </x:c>
      <x:c r="I112" s="24" t="str">
        <x:v>portrait</x:v>
      </x:c>
      <x:c r="J112" s="26" t="n">
        <x:v>96</x:v>
      </x:c>
      <x:c r="K112" s="24" t="str">
        <x:v>Large flower character with heart-shaped multicolored petals</x:v>
      </x:c>
      <x:c r="L112" s="24" t="str">
        <x:v>light blue; purple; pink; orange; cream; brown; green</x:v>
      </x:c>
      <x:c r="M112" s="24" t="str">
        <x:v>brown; pastel petals</x:v>
      </x:c>
      <x:c r="N112" s="24" t="n">
        <x:v>7</x:v>
      </x:c>
      <x:c r="O112" s="24" t="str">
        <x:v>Pale flower face, many heart-shaped petals in different colors and a substantially brown-filled background</x:v>
      </x:c>
      <x:c r="P112" s="24" t="str">
        <x:v>flower-character transformation</x:v>
      </x:c>
      <x:c r="Q112" s="24" t="str">
        <x:v>Face, numerous patterned petals, multiple colors and full background fill</x:v>
      </x:c>
      <x:c r="R112" s="24" t="str">
        <x:v>One main flower idea with strong decorative variation</x:v>
      </x:c>
      <x:c r="S112" s="24" t="str">
        <x:v>Moderately distinctive due to heart-shaped petals and broad pastel palette</x:v>
      </x:c>
      <x:c r="T112" s="24" t="str">
        <x:v>Wide pastel palette with strong brown background contrast</x:v>
      </x:c>
      <x:c r="U112" s="24" t="str">
        <x:v>Give the flower a name and personality and add insects, leaves or a garden story</x:v>
      </x:c>
      <x:c r="V112" s="24"/>
      <x:c r="W112" s="24"/>
      <x:c r="X112" s="24" t="str">
        <x:v>unassigned</x:v>
      </x:c>
      <x:c r="Y112" s="24" t="n">
        <x:v>4</x:v>
      </x:c>
      <x:c r="Z112" s="24" t="n">
        <x:v>4</x:v>
      </x:c>
      <x:c r="AA112" s="24" t="n">
        <x:v>4</x:v>
      </x:c>
      <x:c r="AB112" s="24" t="n">
        <x:v>4</x:v>
      </x:c>
      <x:c r="AC112" s="24" t="n">
        <x:f>SUM(Y112:AB112)</x:f>
        <x:v>16</x:v>
      </x:c>
      <x:c r="AD112" s="25" t="n">
        <x:f>AVERAGE(Y112:AB112)</x:f>
        <x:v>4</x:v>
      </x:c>
      <x:c r="AE112" s="24" t="str">
        <x:f>IF(AD112&gt;=4.5,"Very High",IF(AD112&gt;=3.5,"High",IF(AD112&gt;=2.5,"Moderate",IF(AD112&gt;=1.5,"Developing","Low"))))</x:f>
        <x:v>High</x:v>
      </x:c>
      <x:c r="AF112" s="24" t="str">
        <x:v>Familiar flower idea enhanced by heart-shaped petals, color variety and full composition.</x:v>
      </x:c>
      <x:c r="AG112" s="24" t="str">
        <x:v>PRELIMINARY_ONLY</x:v>
      </x:c>
      <x:c r="AH112" s="24" t="str">
        <x:v>Visual review of uploaded drawing; color counts are approximate. Assistant scores are preliminary and require human validation.</x:v>
      </x:c>
      <x:c r="AI112" s="24" t="str">
        <x:v>train</x:v>
      </x:c>
      <x:c r="AJ112" s="24"/>
      <x:c r="AK112" s="24"/>
      <x:c r="AL112" s="24"/>
      <x:c r="AM112" s="24"/>
      <x:c r="AN112" s="24"/>
      <x:c r="AO112" s="24" t="str">
        <x:v>descriptive_only_needs_human_scoring</x:v>
      </x:c>
      <x:c r="AP112" s="24" t="str">
        <x:f>IF(COUNT(AJ112:AM112)=4,"FINAL HUMAN-LABEL READY","PROTOTYPE ONLY - HUMAN VALIDATION REQUIRED")</x:f>
        <x:v>PROTOTYPE ONLY - HUMAN VALIDATION REQUIRED</x:v>
      </x:c>
    </x:row>
    <x:row r="113" ht="34" customHeight="1">
      <x:c r="A113" s="24" t="str">
        <x:v>S112</x:v>
      </x:c>
      <x:c r="B113" s="24" t="str">
        <x:v>PC01</x:v>
      </x:c>
      <x:c r="C113" s="24" t="str">
        <x:v>S112_PC01.jpeg</x:v>
      </x:c>
      <x:c r="D113" s="24" t="str">
        <x:v>images/picture_completion/S112_PC01.jpeg</x:v>
      </x:c>
      <x:c r="E113" s="24" t="str">
        <x:v>S112_PC01.jpeg</x:v>
      </x:c>
      <x:c r="F113" s="24" t="n">
        <x:v>960</x:v>
      </x:c>
      <x:c r="G113" s="24" t="n">
        <x:v>1280</x:v>
      </x:c>
      <x:c r="H113" s="25" t="n">
        <x:f>IF(G113=0,"",F113/G113)</x:f>
        <x:v>0.75</x:v>
      </x:c>
      <x:c r="I113" s="24" t="str">
        <x:v>portrait</x:v>
      </x:c>
      <x:c r="J113" s="26" t="n">
        <x:v>45.7</x:v>
      </x:c>
      <x:c r="K113" s="24" t="str">
        <x:v>Orange fruit-like circular object with leaf</x:v>
      </x:c>
      <x:c r="L113" s="24" t="str">
        <x:v>orange; green; brown; gray</x:v>
      </x:c>
      <x:c r="M113" s="24" t="str">
        <x:v>orange</x:v>
      </x:c>
      <x:c r="N113" s="24" t="n">
        <x:v>4</x:v>
      </x:c>
      <x:c r="O113" s="24" t="str">
        <x:v>Circle filled orange; small green leaf and brown stem added at one side; one small gray detail inside</x:v>
      </x:c>
      <x:c r="P113" s="24" t="str">
        <x:v>fruit transformation</x:v>
      </x:c>
      <x:c r="Q113" s="24" t="str">
        <x:v>Basic color fill with leaf, stem and a small interior mark</x:v>
      </x:c>
      <x:c r="R113" s="24" t="str">
        <x:v>One main fruit idea</x:v>
      </x:c>
      <x:c r="S113" s="24" t="str">
        <x:v>Moderately common interpretation with limited additional development</x:v>
      </x:c>
      <x:c r="T113" s="24" t="str">
        <x:v>Strong orange fill with small green accent</x:v>
      </x:c>
      <x:c r="U113" s="24" t="str">
        <x:v>Ask the child to add a tree, basket or story showing where the fruit came from</x:v>
      </x:c>
      <x:c r="V113" s="24"/>
      <x:c r="W113" s="24"/>
      <x:c r="X113" s="24" t="str">
        <x:v>unassigned</x:v>
      </x:c>
      <x:c r="Y113" s="24" t="n">
        <x:v>3</x:v>
      </x:c>
      <x:c r="Z113" s="24" t="n">
        <x:v>2</x:v>
      </x:c>
      <x:c r="AA113" s="24" t="n">
        <x:v>2</x:v>
      </x:c>
      <x:c r="AB113" s="24" t="n">
        <x:v>2</x:v>
      </x:c>
      <x:c r="AC113" s="24" t="n">
        <x:f>SUM(Y113:AB113)</x:f>
        <x:v>9</x:v>
      </x:c>
      <x:c r="AD113" s="25" t="n">
        <x:f>AVERAGE(Y113:AB113)</x:f>
        <x:v>2.25</x:v>
      </x:c>
      <x:c r="AE113" s="24" t="str">
        <x:f>IF(AD113&gt;=4.5,"Very High",IF(AD113&gt;=3.5,"High",IF(AD113&gt;=2.5,"Moderate",IF(AD113&gt;=1.5,"Developing","Low"))))</x:f>
        <x:v>Developing</x:v>
      </x:c>
      <x:c r="AF113" s="24" t="str">
        <x:v>The circle is clearly transformed into a fruit-like object, but elaboration and idea variety are limited.</x:v>
      </x:c>
      <x:c r="AG113" s="24" t="str">
        <x:v>PRELIMINARY_ONLY</x:v>
      </x:c>
      <x:c r="AH113" s="24" t="str">
        <x:v>Visual review of uploaded drawing; color counts are approximate. Assistant scores are preliminary and require human validation.</x:v>
      </x:c>
      <x:c r="AI113" s="24" t="str">
        <x:v>train</x:v>
      </x:c>
      <x:c r="AJ113" s="24"/>
      <x:c r="AK113" s="24"/>
      <x:c r="AL113" s="24"/>
      <x:c r="AM113" s="24"/>
      <x:c r="AN113" s="24"/>
      <x:c r="AO113" s="24" t="str">
        <x:v>descriptive_only_needs_human_scoring</x:v>
      </x:c>
      <x:c r="AP113" s="24" t="str">
        <x:f>IF(COUNT(AJ113:AM113)=4,"FINAL HUMAN-LABEL READY","PROTOTYPE ONLY - HUMAN VALIDATION REQUIRED")</x:f>
        <x:v>PROTOTYPE ONLY - HUMAN VALIDATION REQUIRED</x:v>
      </x:c>
    </x:row>
    <x:row r="114" ht="34" customHeight="1">
      <x:c r="A114" s="24" t="str">
        <x:v>S113</x:v>
      </x:c>
      <x:c r="B114" s="24" t="str">
        <x:v>PC01</x:v>
      </x:c>
      <x:c r="C114" s="24" t="str">
        <x:v>S113_PC01.jpeg</x:v>
      </x:c>
      <x:c r="D114" s="24" t="str">
        <x:v>images/picture_completion/S113_PC01.jpeg</x:v>
      </x:c>
      <x:c r="E114" s="24" t="str">
        <x:v>S113_PC01.jpeg</x:v>
      </x:c>
      <x:c r="F114" s="24" t="n">
        <x:v>960</x:v>
      </x:c>
      <x:c r="G114" s="24" t="n">
        <x:v>1280</x:v>
      </x:c>
      <x:c r="H114" s="25" t="n">
        <x:f>IF(G114=0,"",F114/G114)</x:f>
        <x:v>0.75</x:v>
      </x:c>
      <x:c r="I114" s="24" t="str">
        <x:v>portrait</x:v>
      </x:c>
      <x:c r="J114" s="26" t="n">
        <x:v>92.7</x:v>
      </x:c>
      <x:c r="K114" s="24" t="str">
        <x:v>Fantasy tree and nature character scene</x:v>
      </x:c>
      <x:c r="L114" s="24" t="str">
        <x:v>green; blue; brown; red; black</x:v>
      </x:c>
      <x:c r="M114" s="24" t="str">
        <x:v>green; blue; brown</x:v>
      </x:c>
      <x:c r="N114" s="24" t="n">
        <x:v>5</x:v>
      </x:c>
      <x:c r="O114" s="24" t="str">
        <x:v>Circle contains a layered green leaf/tree-like form with blue border; large tree trunk and canopy, blue character face and several small branch/plant details are added</x:v>
      </x:c>
      <x:c r="P114" s="24" t="str">
        <x:v>fantasy nature scene transformation</x:v>
      </x:c>
      <x:c r="Q114" s="24" t="str">
        <x:v>Layered central form, full tree structure, character features and multiple surrounding details</x:v>
      </x:c>
      <x:c r="R114" s="24" t="str">
        <x:v>Several related nature and character ideas combined</x:v>
      </x:c>
      <x:c r="S114" s="24" t="str">
        <x:v>Highly distinctive due to the unusual combination of tree, leaf structure and character elements</x:v>
      </x:c>
      <x:c r="T114" s="24" t="str">
        <x:v>Natural greens and browns contrasted with strong blue areas</x:v>
      </x:c>
      <x:c r="U114" s="24" t="str">
        <x:v>Ask the child to explain the fantasy tree and create a story about the character living there</x:v>
      </x:c>
      <x:c r="V114" s="24"/>
      <x:c r="W114" s="24"/>
      <x:c r="X114" s="24" t="str">
        <x:v>unassigned</x:v>
      </x:c>
      <x:c r="Y114" s="24" t="n">
        <x:v>5</x:v>
      </x:c>
      <x:c r="Z114" s="24" t="n">
        <x:v>5</x:v>
      </x:c>
      <x:c r="AA114" s="24" t="n">
        <x:v>5</x:v>
      </x:c>
      <x:c r="AB114" s="24" t="n">
        <x:v>5</x:v>
      </x:c>
      <x:c r="AC114" s="24" t="n">
        <x:f>SUM(Y114:AB114)</x:f>
        <x:v>20</x:v>
      </x:c>
      <x:c r="AD114" s="25" t="n">
        <x:f>AVERAGE(Y114:AB114)</x:f>
        <x:v>5</x:v>
      </x:c>
      <x:c r="AE114" s="24" t="str">
        <x:f>IF(AD114&gt;=4.5,"Very High",IF(AD114&gt;=3.5,"High",IF(AD114&gt;=2.5,"Moderate",IF(AD114&gt;=1.5,"Developing","Low"))))</x:f>
        <x:v>Very High</x:v>
      </x:c>
      <x:c r="AF114" s="24" t="str">
        <x:v>A highly transformed and detailed response with strong imagination, elaboration and multiple integrated ideas.</x:v>
      </x:c>
      <x:c r="AG114" s="24" t="str">
        <x:v>PRELIMINARY_ONLY</x:v>
      </x:c>
      <x:c r="AH114" s="24" t="str">
        <x:v>Visual review of uploaded drawing; color counts are approximate. Assistant scores are preliminary and require human validation.</x:v>
      </x:c>
      <x:c r="AI114" s="24" t="str">
        <x:v>test</x:v>
      </x:c>
      <x:c r="AJ114" s="24"/>
      <x:c r="AK114" s="24"/>
      <x:c r="AL114" s="24"/>
      <x:c r="AM114" s="24"/>
      <x:c r="AN114" s="24"/>
      <x:c r="AO114" s="24" t="str">
        <x:v>descriptive_only_needs_human_scoring</x:v>
      </x:c>
      <x:c r="AP114" s="24" t="str">
        <x:f>IF(COUNT(AJ114:AM114)=4,"FINAL HUMAN-LABEL READY","PROTOTYPE ONLY - HUMAN VALIDATION REQUIRED")</x:f>
        <x:v>PROTOTYPE ONLY - HUMAN VALIDATION REQUIRED</x:v>
      </x:c>
    </x:row>
    <x:row r="115" ht="34" customHeight="1">
      <x:c r="A115" s="24" t="str">
        <x:v>S114</x:v>
      </x:c>
      <x:c r="B115" s="24" t="str">
        <x:v>PC01</x:v>
      </x:c>
      <x:c r="C115" s="24" t="str">
        <x:v>S114_PC01.jpeg</x:v>
      </x:c>
      <x:c r="D115" s="24" t="str">
        <x:v>images/picture_completion/S114_PC01.jpeg</x:v>
      </x:c>
      <x:c r="E115" s="24" t="str">
        <x:v>S114_PC01.jpeg</x:v>
      </x:c>
      <x:c r="F115" s="24" t="n">
        <x:v>960</x:v>
      </x:c>
      <x:c r="G115" s="24" t="n">
        <x:v>1280</x:v>
      </x:c>
      <x:c r="H115" s="25" t="n">
        <x:f>IF(G115=0,"",F115/G115)</x:f>
        <x:v>0.75</x:v>
      </x:c>
      <x:c r="I115" s="24" t="str">
        <x:v>portrait</x:v>
      </x:c>
      <x:c r="J115" s="26" t="n">
        <x:v>83</x:v>
      </x:c>
      <x:c r="K115" s="24" t="str">
        <x:v>Green circular object in a simple outdoor landscape</x:v>
      </x:c>
      <x:c r="L115" s="24" t="str">
        <x:v>light green; red; brown; dark green</x:v>
      </x:c>
      <x:c r="M115" s="24" t="str">
        <x:v>light green; red; brown</x:v>
      </x:c>
      <x:c r="N115" s="24" t="n">
        <x:v>4</x:v>
      </x:c>
      <x:c r="O115" s="24" t="str">
        <x:v>Large light-green circle with a triangular extension; a tree, ground/edge bands and small plant marks appear in the surrounding scene</x:v>
      </x:c>
      <x:c r="P115" s="24" t="str">
        <x:v>object-in-landscape transformation</x:v>
      </x:c>
      <x:c r="Q115" s="24" t="str">
        <x:v>Main circular form plus triangular extension, tree and environmental bands</x:v>
      </x:c>
      <x:c r="R115" s="24" t="str">
        <x:v>One main object idea with a few environmental additions</x:v>
      </x:c>
      <x:c r="S115" s="24" t="str">
        <x:v>Moderately distinctive but the central object's meaning is not visually explicit</x:v>
      </x:c>
      <x:c r="T115" s="24" t="str">
        <x:v>Muted green center with red-brown environmental contrast</x:v>
      </x:c>
      <x:c r="U115" s="24" t="str">
        <x:v>Ask the child to name the central object and add more clues showing what it is and what is happening</x:v>
      </x:c>
      <x:c r="V115" s="24"/>
      <x:c r="W115" s="24"/>
      <x:c r="X115" s="24" t="str">
        <x:v>unassigned</x:v>
      </x:c>
      <x:c r="Y115" s="24" t="n">
        <x:v>3</x:v>
      </x:c>
      <x:c r="Z115" s="24" t="n">
        <x:v>3</x:v>
      </x:c>
      <x:c r="AA115" s="24" t="n">
        <x:v>3</x:v>
      </x:c>
      <x:c r="AB115" s="24" t="n">
        <x:v>3</x:v>
      </x:c>
      <x:c r="AC115" s="24" t="n">
        <x:f>SUM(Y115:AB115)</x:f>
        <x:v>12</x:v>
      </x:c>
      <x:c r="AD115" s="25" t="n">
        <x:f>AVERAGE(Y115:AB115)</x:f>
        <x:v>3</x:v>
      </x:c>
      <x:c r="AE115" s="24" t="str">
        <x:f>IF(AD115&gt;=4.5,"Very High",IF(AD115&gt;=3.5,"High",IF(AD115&gt;=2.5,"Moderate",IF(AD115&gt;=1.5,"Developing","Low"))))</x:f>
        <x:v>Moderate</x:v>
      </x:c>
      <x:c r="AF115" s="24" t="str">
        <x:v>The scene contains useful contextual additions, though the main transformation is ambiguous and moderately elaborated.</x:v>
      </x:c>
      <x:c r="AG115" s="24" t="str">
        <x:v>PRELIMINARY_ONLY</x:v>
      </x:c>
      <x:c r="AH115" s="24" t="str">
        <x:v>Visual review of uploaded drawing; color counts are approximate. Assistant scores are preliminary and require human validation.</x:v>
      </x:c>
      <x:c r="AI115" s="24" t="str">
        <x:v>train</x:v>
      </x:c>
      <x:c r="AJ115" s="24"/>
      <x:c r="AK115" s="24"/>
      <x:c r="AL115" s="24"/>
      <x:c r="AM115" s="24"/>
      <x:c r="AN115" s="24"/>
      <x:c r="AO115" s="24" t="str">
        <x:v>descriptive_only_needs_human_scoring</x:v>
      </x:c>
      <x:c r="AP115" s="24" t="str">
        <x:f>IF(COUNT(AJ115:AM115)=4,"FINAL HUMAN-LABEL READY","PROTOTYPE ONLY - HUMAN VALIDATION REQUIRED")</x:f>
        <x:v>PROTOTYPE ONLY - HUMAN VALIDATION REQUIRED</x:v>
      </x:c>
    </x:row>
    <x:row r="116" ht="34" customHeight="1">
      <x:c r="A116" s="24" t="str">
        <x:v>S115</x:v>
      </x:c>
      <x:c r="B116" s="24" t="str">
        <x:v>PC01</x:v>
      </x:c>
      <x:c r="C116" s="24" t="str">
        <x:v>S115_PC01.jpeg</x:v>
      </x:c>
      <x:c r="D116" s="24" t="str">
        <x:v>images/picture_completion/S115_PC01.jpeg</x:v>
      </x:c>
      <x:c r="E116" s="24" t="str">
        <x:v>S115_PC01.jpeg</x:v>
      </x:c>
      <x:c r="F116" s="24" t="n">
        <x:v>960</x:v>
      </x:c>
      <x:c r="G116" s="24" t="n">
        <x:v>1280</x:v>
      </x:c>
      <x:c r="H116" s="25" t="n">
        <x:f>IF(G116=0,"",F116/G116)</x:f>
        <x:v>0.75</x:v>
      </x:c>
      <x:c r="I116" s="24" t="str">
        <x:v>portrait</x:v>
      </x:c>
      <x:c r="J116" s="26" t="n">
        <x:v>69.8</x:v>
      </x:c>
      <x:c r="K116" s="24" t="str">
        <x:v>Smiling orange sun with clouds and decorative shapes</x:v>
      </x:c>
      <x:c r="L116" s="24" t="str">
        <x:v>orange; blue; purple; black</x:v>
      </x:c>
      <x:c r="M116" s="24" t="str">
        <x:v>orange; blue</x:v>
      </x:c>
      <x:c r="N116" s="24" t="n">
        <x:v>4</x:v>
      </x:c>
      <x:c r="O116" s="24" t="str">
        <x:v>Circle becomes an orange smiling sun with many triangular rays; repeated blue cloud forms and purple-blue decorative shapes surround it</x:v>
      </x:c>
      <x:c r="P116" s="24" t="str">
        <x:v>sun scene transformation</x:v>
      </x:c>
      <x:c r="Q116" s="24" t="str">
        <x:v>Face, repeated rays, several clouds and decorative objects</x:v>
      </x:c>
      <x:c r="R116" s="24" t="str">
        <x:v>One main sun idea with multiple scene additions</x:v>
      </x:c>
      <x:c r="S116" s="24" t="str">
        <x:v>Moderately distinctive; common sun theme but developed with repeated surrounding motifs</x:v>
      </x:c>
      <x:c r="T116" s="24" t="str">
        <x:v>Strong orange focal area with light blue cloud accents</x:v>
      </x:c>
      <x:c r="U116" s="24" t="str">
        <x:v>Ask the child to add people, animals or weather events and describe a day under this sun</x:v>
      </x:c>
      <x:c r="V116" s="24"/>
      <x:c r="W116" s="24"/>
      <x:c r="X116" s="24" t="str">
        <x:v>unassigned</x:v>
      </x:c>
      <x:c r="Y116" s="24" t="n">
        <x:v>3</x:v>
      </x:c>
      <x:c r="Z116" s="24" t="n">
        <x:v>4</x:v>
      </x:c>
      <x:c r="AA116" s="24" t="n">
        <x:v>3</x:v>
      </x:c>
      <x:c r="AB116" s="24" t="n">
        <x:v>3</x:v>
      </x:c>
      <x:c r="AC116" s="24" t="n">
        <x:f>SUM(Y116:AB116)</x:f>
        <x:v>13</x:v>
      </x:c>
      <x:c r="AD116" s="25" t="n">
        <x:f>AVERAGE(Y116:AB116)</x:f>
        <x:v>3.25</x:v>
      </x:c>
      <x:c r="AE116" s="24" t="str">
        <x:f>IF(AD116&gt;=4.5,"Very High",IF(AD116&gt;=3.5,"High",IF(AD116&gt;=2.5,"Moderate",IF(AD116&gt;=1.5,"Developing","Low"))))</x:f>
        <x:v>Moderate</x:v>
      </x:c>
      <x:c r="AF116" s="24" t="str">
        <x:v>A clear and complete sun transformation with good elaboration, but moderate originality because the concept is familiar.</x:v>
      </x:c>
      <x:c r="AG116" s="24" t="str">
        <x:v>PRELIMINARY_ONLY</x:v>
      </x:c>
      <x:c r="AH116" s="24" t="str">
        <x:v>Visual review of uploaded drawing; color counts are approximate. Assistant scores are preliminary and require human validation.</x:v>
      </x:c>
      <x:c r="AI116" s="24" t="str">
        <x:v>validation</x:v>
      </x:c>
      <x:c r="AJ116" s="24"/>
      <x:c r="AK116" s="24"/>
      <x:c r="AL116" s="24"/>
      <x:c r="AM116" s="24"/>
      <x:c r="AN116" s="24"/>
      <x:c r="AO116" s="24" t="str">
        <x:v>descriptive_only_needs_human_scoring</x:v>
      </x:c>
      <x:c r="AP116" s="24" t="str">
        <x:f>IF(COUNT(AJ116:AM116)=4,"FINAL HUMAN-LABEL READY","PROTOTYPE ONLY - HUMAN VALIDATION REQUIRED")</x:f>
        <x:v>PROTOTYPE ONLY - HUMAN VALIDATION REQUIRED</x:v>
      </x:c>
    </x:row>
    <x:row r="117" ht="34" customHeight="1">
      <x:c r="A117" s="24" t="str">
        <x:v>S116</x:v>
      </x:c>
      <x:c r="B117" s="24" t="str">
        <x:v>PC01</x:v>
      </x:c>
      <x:c r="C117" s="24" t="str">
        <x:v>S116_PC01.jpeg</x:v>
      </x:c>
      <x:c r="D117" s="24" t="str">
        <x:v>images/picture_completion/S116_PC01.jpeg</x:v>
      </x:c>
      <x:c r="E117" s="24" t="str">
        <x:v>S116_PC01.jpeg</x:v>
      </x:c>
      <x:c r="F117" s="24" t="n">
        <x:v>960</x:v>
      </x:c>
      <x:c r="G117" s="24" t="n">
        <x:v>1280</x:v>
      </x:c>
      <x:c r="H117" s="25" t="n">
        <x:f>IF(G117=0,"",F117/G117)</x:f>
        <x:v>0.75</x:v>
      </x:c>
      <x:c r="I117" s="24" t="str">
        <x:v>portrait</x:v>
      </x:c>
      <x:c r="J117" s="26" t="n">
        <x:v>69</x:v>
      </x:c>
      <x:c r="K117" s="24" t="str">
        <x:v>Flower character with multicolored heart-like petals</x:v>
      </x:c>
      <x:c r="L117" s="24" t="str">
        <x:v>cream; blue; pink; orange; peach; black</x:v>
      </x:c>
      <x:c r="M117" s="24" t="str">
        <x:v>pink; blue; peach</x:v>
      </x:c>
      <x:c r="N117" s="24" t="n">
        <x:v>6</x:v>
      </x:c>
      <x:c r="O117" s="24" t="str">
        <x:v>Circle becomes a face surrounded by large heart-shaped or rounded petals in several colors; light heart doodles appear in the background</x:v>
      </x:c>
      <x:c r="P117" s="24" t="str">
        <x:v>flower-character transformation</x:v>
      </x:c>
      <x:c r="Q117" s="24" t="str">
        <x:v>Detailed eyes and mouth, segmented multicolored petals and repeated background heart motifs</x:v>
      </x:c>
      <x:c r="R117" s="24" t="str">
        <x:v>One main flower character idea with decorative variation</x:v>
      </x:c>
      <x:c r="S117" s="24" t="str">
        <x:v>Distinctive petal shapes and coordinated color segments give the flower a personal style</x:v>
      </x:c>
      <x:c r="T117" s="24" t="str">
        <x:v>Pastel multicolor palette with clear petal segmentation</x:v>
      </x:c>
      <x:c r="U117" s="24" t="str">
        <x:v>Ask the child to give the flower a name and create a garden with other unusual flowers</x:v>
      </x:c>
      <x:c r="V117" s="24"/>
      <x:c r="W117" s="24"/>
      <x:c r="X117" s="24" t="str">
        <x:v>unassigned</x:v>
      </x:c>
      <x:c r="Y117" s="24" t="n">
        <x:v>4</x:v>
      </x:c>
      <x:c r="Z117" s="24" t="n">
        <x:v>4</x:v>
      </x:c>
      <x:c r="AA117" s="24" t="n">
        <x:v>4</x:v>
      </x:c>
      <x:c r="AB117" s="24" t="n">
        <x:v>4</x:v>
      </x:c>
      <x:c r="AC117" s="24" t="n">
        <x:f>SUM(Y117:AB117)</x:f>
        <x:v>16</x:v>
      </x:c>
      <x:c r="AD117" s="25" t="n">
        <x:f>AVERAGE(Y117:AB117)</x:f>
        <x:v>4</x:v>
      </x:c>
      <x:c r="AE117" s="24" t="str">
        <x:f>IF(AD117&gt;=4.5,"Very High",IF(AD117&gt;=3.5,"High",IF(AD117&gt;=2.5,"Moderate",IF(AD117&gt;=1.5,"Developing","Low"))))</x:f>
        <x:v>High</x:v>
      </x:c>
      <x:c r="AF117" s="24" t="str">
        <x:v>The response shows good decorative elaboration and a distinctive flower character, though the main concept remains familiar.</x:v>
      </x:c>
      <x:c r="AG117" s="24" t="str">
        <x:v>PRELIMINARY_ONLY</x:v>
      </x:c>
      <x:c r="AH117" s="24" t="str">
        <x:v>Visual review of uploaded drawing; color counts are approximate. Assistant scores are preliminary and require human validation.</x:v>
      </x:c>
      <x:c r="AI117" s="24" t="str">
        <x:v>train</x:v>
      </x:c>
      <x:c r="AJ117" s="24"/>
      <x:c r="AK117" s="24"/>
      <x:c r="AL117" s="24"/>
      <x:c r="AM117" s="24"/>
      <x:c r="AN117" s="24"/>
      <x:c r="AO117" s="24" t="str">
        <x:v>descriptive_only_needs_human_scoring</x:v>
      </x:c>
      <x:c r="AP117" s="24" t="str">
        <x:f>IF(COUNT(AJ117:AM117)=4,"FINAL HUMAN-LABEL READY","PROTOTYPE ONLY - HUMAN VALIDATION REQUIRED")</x:f>
        <x:v>PROTOTYPE ONLY - HUMAN VALIDATION REQUIRED</x:v>
      </x:c>
    </x:row>
    <x:row r="118" ht="34" customHeight="1">
      <x:c r="A118" s="24" t="str">
        <x:v>S117</x:v>
      </x:c>
      <x:c r="B118" s="24" t="str">
        <x:v>PC01</x:v>
      </x:c>
      <x:c r="C118" s="24" t="str">
        <x:v>S117_PC01.jpeg</x:v>
      </x:c>
      <x:c r="D118" s="24" t="str">
        <x:v>images/picture_completion/S117_PC01.jpeg</x:v>
      </x:c>
      <x:c r="E118" s="24" t="str">
        <x:v>S117_PC01.jpeg</x:v>
      </x:c>
      <x:c r="F118" s="24" t="n">
        <x:v>960</x:v>
      </x:c>
      <x:c r="G118" s="24" t="n">
        <x:v>1280</x:v>
      </x:c>
      <x:c r="H118" s="25" t="n">
        <x:f>IF(G118=0,"",F118/G118)</x:f>
        <x:v>0.75</x:v>
      </x:c>
      <x:c r="I118" s="24" t="str">
        <x:v>portrait</x:v>
      </x:c>
      <x:c r="J118" s="26" t="n">
        <x:v>88.3</x:v>
      </x:c>
      <x:c r="K118" s="24" t="str">
        <x:v>Smiling flower with long pink petals</x:v>
      </x:c>
      <x:c r="L118" s="24" t="str">
        <x:v>yellow; pink; red; black</x:v>
      </x:c>
      <x:c r="M118" s="24" t="str">
        <x:v>pink; yellow</x:v>
      </x:c>
      <x:c r="N118" s="24" t="n">
        <x:v>4</x:v>
      </x:c>
      <x:c r="O118" s="24" t="str">
        <x:v>Yellow circular face with a smile surrounded by many long pink-red petals with dark outlines and inner petal details</x:v>
      </x:c>
      <x:c r="P118" s="24" t="str">
        <x:v>flower-character transformation</x:v>
      </x:c>
      <x:c r="Q118" s="24" t="str">
        <x:v>Expressive face and numerous repeated double-layer petals</x:v>
      </x:c>
      <x:c r="R118" s="24" t="str">
        <x:v>One main flower idea</x:v>
      </x:c>
      <x:c r="S118" s="24" t="str">
        <x:v>Moderately distinctive because of the elongated layered petals, but conceptually familiar</x:v>
      </x:c>
      <x:c r="T118" s="24" t="str">
        <x:v>Strong pink-yellow contrast with dark outlines</x:v>
      </x:c>
      <x:c r="U118" s="24" t="str">
        <x:v>Ask the child to add stem, leaves, insects and a setting, then explain the flower's story</x:v>
      </x:c>
      <x:c r="V118" s="24"/>
      <x:c r="W118" s="24"/>
      <x:c r="X118" s="24" t="str">
        <x:v>unassigned</x:v>
      </x:c>
      <x:c r="Y118" s="24" t="n">
        <x:v>3</x:v>
      </x:c>
      <x:c r="Z118" s="24" t="n">
        <x:v>4</x:v>
      </x:c>
      <x:c r="AA118" s="24" t="n">
        <x:v>3</x:v>
      </x:c>
      <x:c r="AB118" s="24" t="n">
        <x:v>3</x:v>
      </x:c>
      <x:c r="AC118" s="24" t="n">
        <x:f>SUM(Y118:AB118)</x:f>
        <x:v>13</x:v>
      </x:c>
      <x:c r="AD118" s="25" t="n">
        <x:f>AVERAGE(Y118:AB118)</x:f>
        <x:v>3.25</x:v>
      </x:c>
      <x:c r="AE118" s="24" t="str">
        <x:f>IF(AD118&gt;=4.5,"Very High",IF(AD118&gt;=3.5,"High",IF(AD118&gt;=2.5,"Moderate",IF(AD118&gt;=1.5,"Developing","Low"))))</x:f>
        <x:v>Moderate</x:v>
      </x:c>
      <x:c r="AF118" s="24" t="str">
        <x:v>Good visual elaboration in the petals and face, with moderate originality and limited idea variety.</x:v>
      </x:c>
      <x:c r="AG118" s="24" t="str">
        <x:v>PRELIMINARY_ONLY</x:v>
      </x:c>
      <x:c r="AH118" s="24" t="str">
        <x:v>Visual review of uploaded drawing; color counts are approximate. Assistant scores are preliminary and require human validation.</x:v>
      </x:c>
      <x:c r="AI118" s="24" t="str">
        <x:v>validation</x:v>
      </x:c>
      <x:c r="AJ118" s="24"/>
      <x:c r="AK118" s="24"/>
      <x:c r="AL118" s="24"/>
      <x:c r="AM118" s="24"/>
      <x:c r="AN118" s="24"/>
      <x:c r="AO118" s="24" t="str">
        <x:v>descriptive_only_needs_human_scoring</x:v>
      </x:c>
      <x:c r="AP118" s="24" t="str">
        <x:f>IF(COUNT(AJ118:AM118)=4,"FINAL HUMAN-LABEL READY","PROTOTYPE ONLY - HUMAN VALIDATION REQUIRED")</x:f>
        <x:v>PROTOTYPE ONLY - HUMAN VALIDATION REQUIRED</x:v>
      </x:c>
    </x:row>
    <x:row r="119" ht="34" customHeight="1">
      <x:c r="A119" s="24" t="str">
        <x:v>S118</x:v>
      </x:c>
      <x:c r="B119" s="24" t="str">
        <x:v>PC01</x:v>
      </x:c>
      <x:c r="C119" s="24" t="str">
        <x:v>S118_PC01.jpeg</x:v>
      </x:c>
      <x:c r="D119" s="24" t="str">
        <x:v>images/picture_completion/S118_PC01.jpeg</x:v>
      </x:c>
      <x:c r="E119" s="24" t="str">
        <x:v>S118_PC01.jpeg</x:v>
      </x:c>
      <x:c r="F119" s="24" t="n">
        <x:v>960</x:v>
      </x:c>
      <x:c r="G119" s="24" t="n">
        <x:v>1280</x:v>
      </x:c>
      <x:c r="H119" s="25" t="n">
        <x:f>IF(G119=0,"",F119/G119)</x:f>
        <x:v>0.75</x:v>
      </x:c>
      <x:c r="I119" s="24" t="str">
        <x:v>portrait</x:v>
      </x:c>
      <x:c r="J119" s="26" t="n">
        <x:v>62.2</x:v>
      </x:c>
      <x:c r="K119" s="24" t="str">
        <x:v>Orange sun surrounded by blue cloud-like forms</x:v>
      </x:c>
      <x:c r="L119" s="24" t="str">
        <x:v>orange; blue; black</x:v>
      </x:c>
      <x:c r="M119" s="24" t="str">
        <x:v>orange; blue</x:v>
      </x:c>
      <x:c r="N119" s="24" t="n">
        <x:v>3</x:v>
      </x:c>
      <x:c r="O119" s="24" t="str">
        <x:v>Circle becomes a large orange sun with many pointed rays; numerous blue cloud-like shapes are distributed around the page</x:v>
      </x:c>
      <x:c r="P119" s="24" t="str">
        <x:v>sun-and-cloud scene transformation</x:v>
      </x:c>
      <x:c r="Q119" s="24" t="str">
        <x:v>Large sun, repeated pointed rays and many surrounding cloud forms</x:v>
      </x:c>
      <x:c r="R119" s="24" t="str">
        <x:v>One main sun idea with repeated environmental elements</x:v>
      </x:c>
      <x:c r="S119" s="24" t="str">
        <x:v>Moderately common concept but developed into a fuller sky scene</x:v>
      </x:c>
      <x:c r="T119" s="24" t="str">
        <x:v>Simple orange-blue complementary contrast</x:v>
      </x:c>
      <x:c r="U119" s="24" t="str">
        <x:v>Ask the child to add rain, birds, a rainbow or people and tell what the weather is doing</x:v>
      </x:c>
      <x:c r="V119" s="24"/>
      <x:c r="W119" s="24"/>
      <x:c r="X119" s="24" t="str">
        <x:v>unassigned</x:v>
      </x:c>
      <x:c r="Y119" s="24" t="n">
        <x:v>3</x:v>
      </x:c>
      <x:c r="Z119" s="24" t="n">
        <x:v>4</x:v>
      </x:c>
      <x:c r="AA119" s="24" t="n">
        <x:v>3</x:v>
      </x:c>
      <x:c r="AB119" s="24" t="n">
        <x:v>3</x:v>
      </x:c>
      <x:c r="AC119" s="24" t="n">
        <x:f>SUM(Y119:AB119)</x:f>
        <x:v>13</x:v>
      </x:c>
      <x:c r="AD119" s="25" t="n">
        <x:f>AVERAGE(Y119:AB119)</x:f>
        <x:v>3.25</x:v>
      </x:c>
      <x:c r="AE119" s="24" t="str">
        <x:f>IF(AD119&gt;=4.5,"Very High",IF(AD119&gt;=3.5,"High",IF(AD119&gt;=2.5,"Moderate",IF(AD119&gt;=1.5,"Developing","Low"))))</x:f>
        <x:v>Moderate</x:v>
      </x:c>
      <x:c r="AF119" s="24" t="str">
        <x:v>The drawing is well elaborated as a sky scene, though originality is moderate because the sun concept is common.</x:v>
      </x:c>
      <x:c r="AG119" s="24" t="str">
        <x:v>PRELIMINARY_ONLY</x:v>
      </x:c>
      <x:c r="AH119" s="24" t="str">
        <x:v>Visual review of uploaded drawing; color counts are approximate. Assistant scores are preliminary and require human validation.</x:v>
      </x:c>
      <x:c r="AI119" s="24" t="str">
        <x:v>test</x:v>
      </x:c>
      <x:c r="AJ119" s="24"/>
      <x:c r="AK119" s="24"/>
      <x:c r="AL119" s="24"/>
      <x:c r="AM119" s="24"/>
      <x:c r="AN119" s="24"/>
      <x:c r="AO119" s="24" t="str">
        <x:v>descriptive_only_needs_human_scoring</x:v>
      </x:c>
      <x:c r="AP119" s="24" t="str">
        <x:f>IF(COUNT(AJ119:AM119)=4,"FINAL HUMAN-LABEL READY","PROTOTYPE ONLY - HUMAN VALIDATION REQUIRED")</x:f>
        <x:v>PROTOTYPE ONLY - HUMAN VALIDATION REQUIRED</x:v>
      </x:c>
    </x:row>
    <x:row r="120" ht="34" customHeight="1">
      <x:c r="A120" s="24" t="str">
        <x:v>S119</x:v>
      </x:c>
      <x:c r="B120" s="24" t="str">
        <x:v>PC01</x:v>
      </x:c>
      <x:c r="C120" s="24" t="str">
        <x:v>S119_PC01.jpeg</x:v>
      </x:c>
      <x:c r="D120" s="24" t="str">
        <x:v>images/picture_completion/S119_PC01.jpeg</x:v>
      </x:c>
      <x:c r="E120" s="24" t="str">
        <x:v>S119_PC01.jpeg</x:v>
      </x:c>
      <x:c r="F120" s="24" t="n">
        <x:v>960</x:v>
      </x:c>
      <x:c r="G120" s="24" t="n">
        <x:v>1280</x:v>
      </x:c>
      <x:c r="H120" s="25" t="n">
        <x:f>IF(G120=0,"",F120/G120)</x:f>
        <x:v>0.75</x:v>
      </x:c>
      <x:c r="I120" s="24" t="str">
        <x:v>portrait</x:v>
      </x:c>
      <x:c r="J120" s="26" t="n">
        <x:v>97.6</x:v>
      </x:c>
      <x:c r="K120" s="24" t="str">
        <x:v>Human face embedded in a multicolored flower</x:v>
      </x:c>
      <x:c r="L120" s="24" t="str">
        <x:v>gray; brown; red; purple; pink; orange; green; blue</x:v>
      </x:c>
      <x:c r="M120" s="24" t="str">
        <x:v>gray/brown face; multicolored petals</x:v>
      </x:c>
      <x:c r="N120" s="24" t="n">
        <x:v>8</x:v>
      </x:c>
      <x:c r="O120" s="24" t="str">
        <x:v>Circle becomes a shaded human-like face with detailed eyes and mouth; many differently colored petals surround it; the page background is divided into pink and pale green regions</x:v>
      </x:c>
      <x:c r="P120" s="24" t="str">
        <x:v>portrait-flower hybrid transformation</x:v>
      </x:c>
      <x:c r="Q120" s="24" t="str">
        <x:v>Facial shading, expressive features, many colored petals and a fully treated background</x:v>
      </x:c>
      <x:c r="R120" s="24" t="str">
        <x:v>Several visual ideas combined: portrait, flower and split background</x:v>
      </x:c>
      <x:c r="S120" s="24" t="str">
        <x:v>Highly distinctive because the child combines a human-like portrait with a flower form and full background design</x:v>
      </x:c>
      <x:c r="T120" s="24" t="str">
        <x:v>Very broad palette with dark facial tones and vivid petals</x:v>
      </x:c>
      <x:c r="U120" s="24" t="str">
        <x:v>Ask the child to explain who the flower-person is and create a story or place where this character lives</x:v>
      </x:c>
      <x:c r="V120" s="24"/>
      <x:c r="W120" s="24"/>
      <x:c r="X120" s="24" t="str">
        <x:v>unassigned</x:v>
      </x:c>
      <x:c r="Y120" s="24" t="n">
        <x:v>5</x:v>
      </x:c>
      <x:c r="Z120" s="24" t="n">
        <x:v>5</x:v>
      </x:c>
      <x:c r="AA120" s="24" t="n">
        <x:v>5</x:v>
      </x:c>
      <x:c r="AB120" s="24" t="n">
        <x:v>4</x:v>
      </x:c>
      <x:c r="AC120" s="24" t="n">
        <x:f>SUM(Y120:AB120)</x:f>
        <x:v>19</x:v>
      </x:c>
      <x:c r="AD120" s="25" t="n">
        <x:f>AVERAGE(Y120:AB120)</x:f>
        <x:v>4.75</x:v>
      </x:c>
      <x:c r="AE120" s="24" t="str">
        <x:f>IF(AD120&gt;=4.5,"Very High",IF(AD120&gt;=3.5,"High",IF(AD120&gt;=2.5,"Moderate",IF(AD120&gt;=1.5,"Developing","Low"))))</x:f>
        <x:v>Very High</x:v>
      </x:c>
      <x:c r="AF120" s="24" t="str">
        <x:v>A highly original hybrid transformation with strong elaboration, imaginative character design and broad visual variation.</x:v>
      </x:c>
      <x:c r="AG120" s="24" t="str">
        <x:v>PRELIMINARY_ONLY</x:v>
      </x:c>
      <x:c r="AH120" s="24" t="str">
        <x:v>Visual review of uploaded drawing; color counts are approximate. Assistant scores are preliminary and require human validation.</x:v>
      </x:c>
      <x:c r="AI120" s="24" t="str">
        <x:v>test</x:v>
      </x:c>
      <x:c r="AJ120" s="24"/>
      <x:c r="AK120" s="24"/>
      <x:c r="AL120" s="24"/>
      <x:c r="AM120" s="24"/>
      <x:c r="AN120" s="24"/>
      <x:c r="AO120" s="24" t="str">
        <x:v>descriptive_only_needs_human_scoring</x:v>
      </x:c>
      <x:c r="AP120" s="24" t="str">
        <x:f>IF(COUNT(AJ120:AM120)=4,"FINAL HUMAN-LABEL READY","PROTOTYPE ONLY - HUMAN VALIDATION REQUIRED")</x:f>
        <x:v>PROTOTYPE ONLY - HUMAN VALIDATION REQUIRED</x:v>
      </x:c>
    </x:row>
    <x:row r="121" ht="34" customHeight="1">
      <x:c r="A121" s="24" t="str">
        <x:v>S120</x:v>
      </x:c>
      <x:c r="B121" s="24" t="str">
        <x:v>PC01</x:v>
      </x:c>
      <x:c r="C121" s="24" t="str">
        <x:v>S120_PC01.jpeg</x:v>
      </x:c>
      <x:c r="D121" s="24" t="str">
        <x:v>images/picture_completion/S120_PC01.jpeg</x:v>
      </x:c>
      <x:c r="E121" s="24" t="str">
        <x:v>S120_PC01.jpeg</x:v>
      </x:c>
      <x:c r="F121" s="24" t="n">
        <x:v>960</x:v>
      </x:c>
      <x:c r="G121" s="24" t="n">
        <x:v>1280</x:v>
      </x:c>
      <x:c r="H121" s="25" t="n">
        <x:f>IF(G121=0,"",F121/G121)</x:f>
        <x:v>0.75</x:v>
      </x:c>
      <x:c r="I121" s="24" t="str">
        <x:v>portrait</x:v>
      </x:c>
      <x:c r="J121" s="26" t="n">
        <x:v>62.7</x:v>
      </x:c>
      <x:c r="K121" s="24" t="str">
        <x:v>Large flower with blue center and pink petals</x:v>
      </x:c>
      <x:c r="L121" s="24" t="str">
        <x:v>blue; pink; green; white</x:v>
      </x:c>
      <x:c r="M121" s="24" t="str">
        <x:v>blue; pink</x:v>
      </x:c>
      <x:c r="N121" s="24" t="n">
        <x:v>4</x:v>
      </x:c>
      <x:c r="O121" s="24" t="str">
        <x:v>Circle is filled blue and surrounded by large pink petals; a vertical green border/ground element is added at one side</x:v>
      </x:c>
      <x:c r="P121" s="24" t="str">
        <x:v>flower transformation</x:v>
      </x:c>
      <x:c r="Q121" s="24" t="str">
        <x:v>Large colored center, multiple petals and one environmental border element</x:v>
      </x:c>
      <x:c r="R121" s="24" t="str">
        <x:v>One main flower idea</x:v>
      </x:c>
      <x:c r="S121" s="24" t="str">
        <x:v>Moderately common flower interpretation with simple scene extension</x:v>
      </x:c>
      <x:c r="T121" s="24" t="str">
        <x:v>Strong blue-pink contrast with a small green accent</x:v>
      </x:c>
      <x:c r="U121" s="24" t="str">
        <x:v>Ask the child to add a stem, leaves, insects and different flower types to increase idea variety</x:v>
      </x:c>
      <x:c r="V121" s="24"/>
      <x:c r="W121" s="24"/>
      <x:c r="X121" s="24" t="str">
        <x:v>unassigned</x:v>
      </x:c>
      <x:c r="Y121" s="24" t="n">
        <x:v>3</x:v>
      </x:c>
      <x:c r="Z121" s="24" t="n">
        <x:v>3</x:v>
      </x:c>
      <x:c r="AA121" s="24" t="n">
        <x:v>3</x:v>
      </x:c>
      <x:c r="AB121" s="24" t="n">
        <x:v>3</x:v>
      </x:c>
      <x:c r="AC121" s="24" t="n">
        <x:f>SUM(Y121:AB121)</x:f>
        <x:v>12</x:v>
      </x:c>
      <x:c r="AD121" s="25" t="n">
        <x:f>AVERAGE(Y121:AB121)</x:f>
        <x:v>3</x:v>
      </x:c>
      <x:c r="AE121" s="24" t="str">
        <x:f>IF(AD121&gt;=4.5,"Very High",IF(AD121&gt;=3.5,"High",IF(AD121&gt;=2.5,"Moderate",IF(AD121&gt;=1.5,"Developing","Low"))))</x:f>
        <x:v>Moderate</x:v>
      </x:c>
      <x:c r="AF121" s="24" t="str">
        <x:v>Clear flower transformation with moderate detail, but limited originality and flexibility.</x:v>
      </x:c>
      <x:c r="AG121" s="24" t="str">
        <x:v>PRELIMINARY_ONLY</x:v>
      </x:c>
      <x:c r="AH121" s="24" t="str">
        <x:v>Visual review of uploaded drawing; color counts are approximate. Assistant scores are preliminary and require human validation.</x:v>
      </x:c>
      <x:c r="AI121" s="24" t="str">
        <x:v>train</x:v>
      </x:c>
      <x:c r="AJ121" s="24"/>
      <x:c r="AK121" s="24"/>
      <x:c r="AL121" s="24"/>
      <x:c r="AM121" s="24"/>
      <x:c r="AN121" s="24"/>
      <x:c r="AO121" s="24" t="str">
        <x:v>descriptive_only_needs_human_scoring</x:v>
      </x:c>
      <x:c r="AP121" s="24" t="str">
        <x:f>IF(COUNT(AJ121:AM121)=4,"FINAL HUMAN-LABEL READY","PROTOTYPE ONLY - HUMAN VALIDATION REQUIRED")</x:f>
        <x:v>PROTOTYPE ONLY - HUMAN VALIDATION REQUIRED</x:v>
      </x:c>
    </x:row>
    <x:row r="122" ht="34" customHeight="1">
      <x:c r="A122" s="24" t="str">
        <x:v>S121</x:v>
      </x:c>
      <x:c r="B122" s="24" t="str">
        <x:v>PC01</x:v>
      </x:c>
      <x:c r="C122" s="24" t="str">
        <x:v>S121_PC01.jpeg</x:v>
      </x:c>
      <x:c r="D122" s="24" t="str">
        <x:v>images/picture_completion/S121_PC01.jpeg</x:v>
      </x:c>
      <x:c r="E122" s="24" t="str">
        <x:v>S121_PC01.jpeg</x:v>
      </x:c>
      <x:c r="F122" s="24" t="n">
        <x:v>960</x:v>
      </x:c>
      <x:c r="G122" s="24" t="n">
        <x:v>1280</x:v>
      </x:c>
      <x:c r="H122" s="25" t="n">
        <x:f>IF(G122=0,"",F122/G122)</x:f>
        <x:v>0.75</x:v>
      </x:c>
      <x:c r="I122" s="24" t="str">
        <x:v>portrait</x:v>
      </x:c>
      <x:c r="J122" s="26" t="n">
        <x:v>66.7</x:v>
      </x:c>
      <x:c r="K122" s="24" t="str">
        <x:v>Bear-like animal character with large body and decorative background</x:v>
      </x:c>
      <x:c r="L122" s="24" t="str">
        <x:v>brown; orange; blue; black</x:v>
      </x:c>
      <x:c r="M122" s="24" t="str">
        <x:v>brown; orange</x:v>
      </x:c>
      <x:c r="N122" s="24" t="n">
        <x:v>4</x:v>
      </x:c>
      <x:c r="O122" s="24" t="str">
        <x:v>Circle becomes a brown animal face with eyes, nose and round ears; a large brown-orange body-like form is attached below; small blue heart shapes and faint surrounding outlines are added</x:v>
      </x:c>
      <x:c r="P122" s="24" t="str">
        <x:v>animal-character transformation</x:v>
      </x:c>
      <x:c r="Q122" s="24" t="str">
        <x:v>Face, ears, attached body, contrasting orange areas and small decorative symbols</x:v>
      </x:c>
      <x:c r="R122" s="24" t="str">
        <x:v>One main animal character idea with several supporting details</x:v>
      </x:c>
      <x:c r="S122" s="24" t="str">
        <x:v>Distinctive animal interpretation with good character development</x:v>
      </x:c>
      <x:c r="T122" s="24" t="str">
        <x:v>Warm brown-orange palette with small blue accents</x:v>
      </x:c>
      <x:c r="U122" s="24" t="str">
        <x:v>Ask the child to name the animal and draw where it lives, what it eats and what adventure it has</x:v>
      </x:c>
      <x:c r="V122" s="24"/>
      <x:c r="W122" s="24"/>
      <x:c r="X122" s="24" t="str">
        <x:v>unassigned</x:v>
      </x:c>
      <x:c r="Y122" s="24" t="n">
        <x:v>4</x:v>
      </x:c>
      <x:c r="Z122" s="24" t="n">
        <x:v>4</x:v>
      </x:c>
      <x:c r="AA122" s="24" t="n">
        <x:v>4</x:v>
      </x:c>
      <x:c r="AB122" s="24" t="n">
        <x:v>4</x:v>
      </x:c>
      <x:c r="AC122" s="24" t="n">
        <x:f>SUM(Y122:AB122)</x:f>
        <x:v>16</x:v>
      </x:c>
      <x:c r="AD122" s="25" t="n">
        <x:f>AVERAGE(Y122:AB122)</x:f>
        <x:v>4</x:v>
      </x:c>
      <x:c r="AE122" s="24" t="str">
        <x:f>IF(AD122&gt;=4.5,"Very High",IF(AD122&gt;=3.5,"High",IF(AD122&gt;=2.5,"Moderate",IF(AD122&gt;=1.5,"Developing","Low"))))</x:f>
        <x:v>High</x:v>
      </x:c>
      <x:c r="AF122" s="24" t="str">
        <x:v>The circle is transformed into a recognizable animal character with good elaboration and imaginative supporting details.</x:v>
      </x:c>
      <x:c r="AG122" s="24" t="str">
        <x:v>PRELIMINARY_ONLY</x:v>
      </x:c>
      <x:c r="AH122" s="24" t="str">
        <x:v>Visual review of uploaded drawing; color counts are approximate. Assistant scores are preliminary and require human validation.</x:v>
      </x:c>
      <x:c r="AI122" s="24" t="str">
        <x:v>train</x:v>
      </x:c>
      <x:c r="AJ122" s="24"/>
      <x:c r="AK122" s="24"/>
      <x:c r="AL122" s="24"/>
      <x:c r="AM122" s="24"/>
      <x:c r="AN122" s="24"/>
      <x:c r="AO122" s="24" t="str">
        <x:v>descriptive_only_needs_human_scoring</x:v>
      </x:c>
      <x:c r="AP122" s="24" t="str">
        <x:f>IF(COUNT(AJ122:AM122)=4,"FINAL HUMAN-LABEL READY","PROTOTYPE ONLY - HUMAN VALIDATION REQUIRED")</x:f>
        <x:v>PROTOTYPE ONLY - HUMAN VALIDATION REQUIRED</x:v>
      </x:c>
    </x:row>
  </x:sheetData>
  <x:conditionalFormatting sqref="Y2:AB12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D2:AD12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4">
    <x:dataValidation type="list" sqref="AJ2:AJ122">
      <x:formula1>"1,2,3,4,5"</x:formula1>
    </x:dataValidation>
    <x:dataValidation type="list" sqref="AK2:AK122">
      <x:formula1>"1,2,3,4,5"</x:formula1>
    </x:dataValidation>
    <x:dataValidation type="list" sqref="AL2:AL122">
      <x:formula1>"1,2,3,4,5"</x:formula1>
    </x:dataValidation>
    <x:dataValidation type="list" sqref="AM2:AM122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9c40751e57432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3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28" hidden="0" customWidth="1"/>
    <x:col min="14" max="14" width="40" hidden="0" customWidth="1"/>
    <x:col min="15" max="15" width="40" hidden="0" customWidth="1"/>
  </x:cols>
  <x:sheetData>
    <x:row r="1">
      <x:c r="A1" s="16" t="str">
        <x:v>student_id</x:v>
      </x:c>
      <x:c r="B1" s="16" t="str">
        <x:v>activity_id</x:v>
      </x:c>
      <x:c r="C1" s="16" t="str">
        <x:v>filename</x:v>
      </x:c>
      <x:c r="D1" s="16" t="str">
        <x:v>image_path</x:v>
      </x:c>
      <x:c r="E1" s="16" t="str">
        <x:v>originality</x:v>
      </x:c>
      <x:c r="F1" s="16" t="str">
        <x:v>elaboration</x:v>
      </x:c>
      <x:c r="G1" s="16" t="str">
        <x:v>imagination</x:v>
      </x:c>
      <x:c r="H1" s="16" t="str">
        <x:v>flexibility</x:v>
      </x:c>
      <x:c r="I1" s="16" t="str">
        <x:v>creativity_total</x:v>
      </x:c>
      <x:c r="J1" s="16" t="str">
        <x:v>creativity_mean</x:v>
      </x:c>
      <x:c r="K1" s="16" t="str">
        <x:v>split</x:v>
      </x:c>
      <x:c r="L1" s="16" t="str">
        <x:v>interpreted_subject</x:v>
      </x:c>
      <x:c r="M1" s="16" t="str">
        <x:v>transformation_type</x:v>
      </x:c>
      <x:c r="N1" s="16" t="str">
        <x:v>label_source</x:v>
      </x:c>
      <x:c r="O1" s="16" t="str">
        <x:v>label_status</x:v>
      </x:c>
    </x:row>
    <x:row r="2">
      <x:c r="A2" s="24" t="str">
        <x:v>S001</x:v>
      </x:c>
      <x:c r="B2" s="24" t="str">
        <x:v>PC01</x:v>
      </x:c>
      <x:c r="C2" s="24" t="str">
        <x:v>S001_PC01.jpeg</x:v>
      </x:c>
      <x:c r="D2" s="24" t="str">
        <x:v>images/picture_completion/S001_PC01.jpeg</x:v>
      </x:c>
      <x:c r="E2" s="24" t="n">
        <x:v>5</x:v>
      </x:c>
      <x:c r="F2" s="24" t="n">
        <x:v>4</x:v>
      </x:c>
      <x:c r="G2" s="24" t="n">
        <x:v>4</x:v>
      </x:c>
      <x:c r="H2" s="24" t="n">
        <x:v>3</x:v>
      </x:c>
      <x:c r="I2" s="24" t="n">
        <x:f>SUM(E2:H2)</x:f>
        <x:v>16</x:v>
      </x:c>
      <x:c r="J2" s="25" t="n">
        <x:f>AVERAGE(E2:H2)</x:f>
        <x:v>4</x:v>
      </x:c>
      <x:c r="K2" s="24" t="str">
        <x:v>validation</x:v>
      </x:c>
      <x:c r="L2" s="24" t="str">
        <x:v>Rabbit-like animal</x:v>
      </x:c>
      <x:c r="M2" s="24" t="str">
        <x:v>animal transformation</x:v>
      </x:c>
      <x:c r="N2" s="24" t="str">
        <x:v>assistant_preliminary_visual_review</x:v>
      </x:c>
      <x:c r="O2" s="24" t="str">
        <x:v>NEEDS_HUMAN_VALIDATION_BEFORE_FINAL_RESEARCH_MODEL</x:v>
      </x:c>
    </x:row>
    <x:row r="3">
      <x:c r="A3" s="24" t="str">
        <x:v>S002</x:v>
      </x:c>
      <x:c r="B3" s="24" t="str">
        <x:v>PC01</x:v>
      </x:c>
      <x:c r="C3" s="24" t="str">
        <x:v>S002_PC01.jpeg</x:v>
      </x:c>
      <x:c r="D3" s="24" t="str">
        <x:v>images/picture_completion/S002_PC01.jpeg</x:v>
      </x:c>
      <x:c r="E3" s="24" t="n">
        <x:v>4</x:v>
      </x:c>
      <x:c r="F3" s="24" t="n">
        <x:v>3</x:v>
      </x:c>
      <x:c r="G3" s="24" t="n">
        <x:v>3</x:v>
      </x:c>
      <x:c r="H3" s="24" t="n">
        <x:v>2</x:v>
      </x:c>
      <x:c r="I3" s="24" t="n">
        <x:f>SUM(E3:H3)</x:f>
        <x:v>12</x:v>
      </x:c>
      <x:c r="J3" s="25" t="n">
        <x:f>AVERAGE(E3:H3)</x:f>
        <x:v>3</x:v>
      </x:c>
      <x:c r="K3" s="24" t="str">
        <x:v>train</x:v>
      </x:c>
      <x:c r="L3" s="24" t="str">
        <x:v>Two-tone face or character</x:v>
      </x:c>
      <x:c r="M3" s="24" t="str">
        <x:v>contrasting face design</x:v>
      </x:c>
      <x:c r="N3" s="24" t="str">
        <x:v>assistant_preliminary_visual_review</x:v>
      </x:c>
      <x:c r="O3" s="24" t="str">
        <x:v>NEEDS_HUMAN_VALIDATION_BEFORE_FINAL_RESEARCH_MODEL</x:v>
      </x:c>
    </x:row>
    <x:row r="4">
      <x:c r="A4" s="24" t="str">
        <x:v>S003</x:v>
      </x:c>
      <x:c r="B4" s="24" t="str">
        <x:v>PC01</x:v>
      </x:c>
      <x:c r="C4" s="24" t="str">
        <x:v>S003_PC01.jpeg</x:v>
      </x:c>
      <x:c r="D4" s="24" t="str">
        <x:v>images/picture_completion/S003_PC01.jpeg</x:v>
      </x:c>
      <x:c r="E4" s="24" t="n">
        <x:v>5</x:v>
      </x:c>
      <x:c r="F4" s="24" t="n">
        <x:v>5</x:v>
      </x:c>
      <x:c r="G4" s="24" t="n">
        <x:v>5</x:v>
      </x:c>
      <x:c r="H4" s="24" t="n">
        <x:v>4</x:v>
      </x:c>
      <x:c r="I4" s="24" t="n">
        <x:f>SUM(E4:H4)</x:f>
        <x:v>19</x:v>
      </x:c>
      <x:c r="J4" s="25" t="n">
        <x:f>AVERAGE(E4:H4)</x:f>
        <x:v>4.75</x:v>
      </x:c>
      <x:c r="K4" s="24" t="str">
        <x:v>train</x:v>
      </x:c>
      <x:c r="L4" s="24" t="str">
        <x:v>Complex scene inside circle</x:v>
      </x:c>
      <x:c r="M4" s="24" t="str">
        <x:v>scene construction</x:v>
      </x:c>
      <x:c r="N4" s="24" t="str">
        <x:v>assistant_preliminary_visual_review</x:v>
      </x:c>
      <x:c r="O4" s="24" t="str">
        <x:v>NEEDS_HUMAN_VALIDATION_BEFORE_FINAL_RESEARCH_MODEL</x:v>
      </x:c>
    </x:row>
    <x:row r="5">
      <x:c r="A5" s="24" t="str">
        <x:v>S004</x:v>
      </x:c>
      <x:c r="B5" s="24" t="str">
        <x:v>PC01</x:v>
      </x:c>
      <x:c r="C5" s="24" t="str">
        <x:v>S004_PC01.jpeg</x:v>
      </x:c>
      <x:c r="D5" s="24" t="str">
        <x:v>images/picture_completion/S004_PC01.jpeg</x:v>
      </x:c>
      <x:c r="E5" s="24" t="n">
        <x:v>2</x:v>
      </x:c>
      <x:c r="F5" s="24" t="n">
        <x:v>4</x:v>
      </x:c>
      <x:c r="G5" s="24" t="n">
        <x:v>3</x:v>
      </x:c>
      <x:c r="H5" s="24" t="n">
        <x:v>2</x:v>
      </x:c>
      <x:c r="I5" s="24" t="n">
        <x:f>SUM(E5:H5)</x:f>
        <x:v>11</x:v>
      </x:c>
      <x:c r="J5" s="25" t="n">
        <x:f>AVERAGE(E5:H5)</x:f>
        <x:v>2.75</x:v>
      </x:c>
      <x:c r="K5" s="24" t="str">
        <x:v>test</x:v>
      </x:c>
      <x:c r="L5" s="24" t="str">
        <x:v>Sun with face</x:v>
      </x:c>
      <x:c r="M5" s="24" t="str">
        <x:v>sun-face transformation</x:v>
      </x:c>
      <x:c r="N5" s="24" t="str">
        <x:v>assistant_preliminary_visual_review</x:v>
      </x:c>
      <x:c r="O5" s="24" t="str">
        <x:v>NEEDS_HUMAN_VALIDATION_BEFORE_FINAL_RESEARCH_MODEL</x:v>
      </x:c>
    </x:row>
    <x:row r="6">
      <x:c r="A6" s="24" t="str">
        <x:v>S005</x:v>
      </x:c>
      <x:c r="B6" s="24" t="str">
        <x:v>PC01</x:v>
      </x:c>
      <x:c r="C6" s="24" t="str">
        <x:v>S005_PC01.jpeg</x:v>
      </x:c>
      <x:c r="D6" s="24" t="str">
        <x:v>images/picture_completion/S005_PC01.jpeg</x:v>
      </x:c>
      <x:c r="E6" s="24" t="n">
        <x:v>3</x:v>
      </x:c>
      <x:c r="F6" s="24" t="n">
        <x:v>3</x:v>
      </x:c>
      <x:c r="G6" s="24" t="n">
        <x:v>3</x:v>
      </x:c>
      <x:c r="H6" s="24" t="n">
        <x:v>2</x:v>
      </x:c>
      <x:c r="I6" s="24" t="n">
        <x:f>SUM(E6:H6)</x:f>
        <x:v>11</x:v>
      </x:c>
      <x:c r="J6" s="25" t="n">
        <x:f>AVERAGE(E6:H6)</x:f>
        <x:v>2.75</x:v>
      </x:c>
      <x:c r="K6" s="24" t="str">
        <x:v>test</x:v>
      </x:c>
      <x:c r="L6" s="24" t="str">
        <x:v>Face or character</x:v>
      </x:c>
      <x:c r="M6" s="24" t="str">
        <x:v>character or face transformation</x:v>
      </x:c>
      <x:c r="N6" s="24" t="str">
        <x:v>assistant_preliminary_visual_review</x:v>
      </x:c>
      <x:c r="O6" s="24" t="str">
        <x:v>NEEDS_HUMAN_VALIDATION_BEFORE_FINAL_RESEARCH_MODEL</x:v>
      </x:c>
    </x:row>
    <x:row r="7">
      <x:c r="A7" s="24" t="str">
        <x:v>S006</x:v>
      </x:c>
      <x:c r="B7" s="24" t="str">
        <x:v>PC01</x:v>
      </x:c>
      <x:c r="C7" s="24" t="str">
        <x:v>S006_PC01.jpeg</x:v>
      </x:c>
      <x:c r="D7" s="24" t="str">
        <x:v>images/picture_completion/S006_PC01.jpeg</x:v>
      </x:c>
      <x:c r="E7" s="24" t="n">
        <x:v>3</x:v>
      </x:c>
      <x:c r="F7" s="24" t="n">
        <x:v>2</x:v>
      </x:c>
      <x:c r="G7" s="24" t="n">
        <x:v>2</x:v>
      </x:c>
      <x:c r="H7" s="24" t="n">
        <x:v>2</x:v>
      </x:c>
      <x:c r="I7" s="24" t="n">
        <x:f>SUM(E7:H7)</x:f>
        <x:v>9</x:v>
      </x:c>
      <x:c r="J7" s="25" t="n">
        <x:f>AVERAGE(E7:H7)</x:f>
        <x:v>2.25</x:v>
      </x:c>
      <x:c r="K7" s="24" t="str">
        <x:v>train</x:v>
      </x:c>
      <x:c r="L7" s="24" t="str">
        <x:v>Blue face or character</x:v>
      </x:c>
      <x:c r="M7" s="24" t="str">
        <x:v>face transformation</x:v>
      </x:c>
      <x:c r="N7" s="24" t="str">
        <x:v>assistant_preliminary_visual_review</x:v>
      </x:c>
      <x:c r="O7" s="24" t="str">
        <x:v>NEEDS_HUMAN_VALIDATION_BEFORE_FINAL_RESEARCH_MODEL</x:v>
      </x:c>
    </x:row>
    <x:row r="8">
      <x:c r="A8" s="24" t="str">
        <x:v>S007</x:v>
      </x:c>
      <x:c r="B8" s="24" t="str">
        <x:v>PC01</x:v>
      </x:c>
      <x:c r="C8" s="24" t="str">
        <x:v>S007_PC01.jpeg</x:v>
      </x:c>
      <x:c r="D8" s="24" t="str">
        <x:v>images/picture_completion/S007_PC01.jpeg</x:v>
      </x:c>
      <x:c r="E8" s="24" t="n">
        <x:v>2</x:v>
      </x:c>
      <x:c r="F8" s="24" t="n">
        <x:v>3</x:v>
      </x:c>
      <x:c r="G8" s="24" t="n">
        <x:v>3</x:v>
      </x:c>
      <x:c r="H8" s="24" t="n">
        <x:v>2</x:v>
      </x:c>
      <x:c r="I8" s="24" t="n">
        <x:f>SUM(E8:H8)</x:f>
        <x:v>10</x:v>
      </x:c>
      <x:c r="J8" s="25" t="n">
        <x:f>AVERAGE(E8:H8)</x:f>
        <x:v>2.5</x:v>
      </x:c>
      <x:c r="K8" s="24" t="str">
        <x:v>train</x:v>
      </x:c>
      <x:c r="L8" s="24" t="str">
        <x:v>Sun-like smiling character</x:v>
      </x:c>
      <x:c r="M8" s="24" t="str">
        <x:v>sun-face transformation</x:v>
      </x:c>
      <x:c r="N8" s="24" t="str">
        <x:v>assistant_preliminary_visual_review</x:v>
      </x:c>
      <x:c r="O8" s="24" t="str">
        <x:v>NEEDS_HUMAN_VALIDATION_BEFORE_FINAL_RESEARCH_MODEL</x:v>
      </x:c>
    </x:row>
    <x:row r="9">
      <x:c r="A9" s="24" t="str">
        <x:v>S008</x:v>
      </x:c>
      <x:c r="B9" s="24" t="str">
        <x:v>PC01</x:v>
      </x:c>
      <x:c r="C9" s="24" t="str">
        <x:v>S008_PC01.jpeg</x:v>
      </x:c>
      <x:c r="D9" s="24" t="str">
        <x:v>images/picture_completion/S008_PC01.jpeg</x:v>
      </x:c>
      <x:c r="E9" s="24" t="n">
        <x:v>4</x:v>
      </x:c>
      <x:c r="F9" s="24" t="n">
        <x:v>4</x:v>
      </x:c>
      <x:c r="G9" s="24" t="n">
        <x:v>4</x:v>
      </x:c>
      <x:c r="H9" s="24" t="n">
        <x:v>3</x:v>
      </x:c>
      <x:c r="I9" s="24" t="n">
        <x:f>SUM(E9:H9)</x:f>
        <x:v>15</x:v>
      </x:c>
      <x:c r="J9" s="25" t="n">
        <x:f>AVERAGE(E9:H9)</x:f>
        <x:v>3.75</x:v>
      </x:c>
      <x:c r="K9" s="24" t="str">
        <x:v>train</x:v>
      </x:c>
      <x:c r="L9" s="24" t="str">
        <x:v>Blue-and-gold sun or character</x:v>
      </x:c>
      <x:c r="M9" s="24" t="str">
        <x:v>unconventional sun color scheme</x:v>
      </x:c>
      <x:c r="N9" s="24" t="str">
        <x:v>assistant_preliminary_visual_review</x:v>
      </x:c>
      <x:c r="O9" s="24" t="str">
        <x:v>NEEDS_HUMAN_VALIDATION_BEFORE_FINAL_RESEARCH_MODEL</x:v>
      </x:c>
    </x:row>
    <x:row r="10">
      <x:c r="A10" s="24" t="str">
        <x:v>S009</x:v>
      </x:c>
      <x:c r="B10" s="24" t="str">
        <x:v>PC01</x:v>
      </x:c>
      <x:c r="C10" s="24" t="str">
        <x:v>S009_PC01.jpeg</x:v>
      </x:c>
      <x:c r="D10" s="24" t="str">
        <x:v>images/picture_completion/S009_PC01.jpeg</x:v>
      </x:c>
      <x:c r="E10" s="24" t="n">
        <x:v>2</x:v>
      </x:c>
      <x:c r="F10" s="24" t="n">
        <x:v>3</x:v>
      </x:c>
      <x:c r="G10" s="24" t="n">
        <x:v>2</x:v>
      </x:c>
      <x:c r="H10" s="24" t="n">
        <x:v>2</x:v>
      </x:c>
      <x:c r="I10" s="24" t="n">
        <x:f>SUM(E10:H10)</x:f>
        <x:v>9</x:v>
      </x:c>
      <x:c r="J10" s="25" t="n">
        <x:f>AVERAGE(E10:H10)</x:f>
        <x:v>2.25</x:v>
      </x:c>
      <x:c r="K10" s="24" t="str">
        <x:v>train</x:v>
      </x:c>
      <x:c r="L10" s="24" t="str">
        <x:v>Smiling sun</x:v>
      </x:c>
      <x:c r="M10" s="24" t="str">
        <x:v>sun-face transformation</x:v>
      </x:c>
      <x:c r="N10" s="24" t="str">
        <x:v>assistant_preliminary_visual_review</x:v>
      </x:c>
      <x:c r="O10" s="24" t="str">
        <x:v>NEEDS_HUMAN_VALIDATION_BEFORE_FINAL_RESEARCH_MODEL</x:v>
      </x:c>
    </x:row>
    <x:row r="11">
      <x:c r="A11" s="24" t="str">
        <x:v>S010</x:v>
      </x:c>
      <x:c r="B11" s="24" t="str">
        <x:v>PC01</x:v>
      </x:c>
      <x:c r="C11" s="24" t="str">
        <x:v>S010_PC01.jpeg</x:v>
      </x:c>
      <x:c r="D11" s="24" t="str">
        <x:v>images/picture_completion/S010_PC01.jpeg</x:v>
      </x:c>
      <x:c r="E11" s="24" t="n">
        <x:v>2</x:v>
      </x:c>
      <x:c r="F11" s="24" t="n">
        <x:v>4</x:v>
      </x:c>
      <x:c r="G11" s="24" t="n">
        <x:v>3</x:v>
      </x:c>
      <x:c r="H11" s="24" t="n">
        <x:v>2</x:v>
      </x:c>
      <x:c r="I11" s="24" t="n">
        <x:f>SUM(E11:H11)</x:f>
        <x:v>11</x:v>
      </x:c>
      <x:c r="J11" s="25" t="n">
        <x:f>AVERAGE(E11:H11)</x:f>
        <x:v>2.75</x:v>
      </x:c>
      <x:c r="K11" s="24" t="str">
        <x:v>train</x:v>
      </x:c>
      <x:c r="L11" s="24" t="str">
        <x:v>Sun with face</x:v>
      </x:c>
      <x:c r="M11" s="24" t="str">
        <x:v>sun-face transformation</x:v>
      </x:c>
      <x:c r="N11" s="24" t="str">
        <x:v>assistant_preliminary_visual_review</x:v>
      </x:c>
      <x:c r="O11" s="24" t="str">
        <x:v>NEEDS_HUMAN_VALIDATION_BEFORE_FINAL_RESEARCH_MODEL</x:v>
      </x:c>
    </x:row>
    <x:row r="12">
      <x:c r="A12" s="24" t="str">
        <x:v>S011</x:v>
      </x:c>
      <x:c r="B12" s="24" t="str">
        <x:v>PC01</x:v>
      </x:c>
      <x:c r="C12" s="24" t="str">
        <x:v>S011_PC01.jpeg</x:v>
      </x:c>
      <x:c r="D12" s="24" t="str">
        <x:v>images/picture_completion/S011_PC01.jpeg</x:v>
      </x:c>
      <x:c r="E12" s="24" t="n">
        <x:v>4</x:v>
      </x:c>
      <x:c r="F12" s="24" t="n">
        <x:v>3</x:v>
      </x:c>
      <x:c r="G12" s="24" t="n">
        <x:v>3</x:v>
      </x:c>
      <x:c r="H12" s="24" t="n">
        <x:v>2</x:v>
      </x:c>
      <x:c r="I12" s="24" t="n">
        <x:f>SUM(E12:H12)</x:f>
        <x:v>12</x:v>
      </x:c>
      <x:c r="J12" s="25" t="n">
        <x:f>AVERAGE(E12:H12)</x:f>
        <x:v>3</x:v>
      </x:c>
      <x:c r="K12" s="24" t="str">
        <x:v>train</x:v>
      </x:c>
      <x:c r="L12" s="24" t="str">
        <x:v>Two-tone face or ball-like character</x:v>
      </x:c>
      <x:c r="M12" s="24" t="str">
        <x:v>contrasting face/character transformation</x:v>
      </x:c>
      <x:c r="N12" s="24" t="str">
        <x:v>assistant_preliminary_visual_review</x:v>
      </x:c>
      <x:c r="O12" s="24" t="str">
        <x:v>NEEDS_HUMAN_VALIDATION_BEFORE_FINAL_RESEARCH_MODEL</x:v>
      </x:c>
    </x:row>
    <x:row r="13">
      <x:c r="A13" s="24" t="str">
        <x:v>S012</x:v>
      </x:c>
      <x:c r="B13" s="24" t="str">
        <x:v>PC01</x:v>
      </x:c>
      <x:c r="C13" s="24" t="str">
        <x:v>S012_PC01.jpeg</x:v>
      </x:c>
      <x:c r="D13" s="24" t="str">
        <x:v>images/picture_completion/S012_PC01.jpeg</x:v>
      </x:c>
      <x:c r="E13" s="24" t="n">
        <x:v>2</x:v>
      </x:c>
      <x:c r="F13" s="24" t="n">
        <x:v>4</x:v>
      </x:c>
      <x:c r="G13" s="24" t="n">
        <x:v>3</x:v>
      </x:c>
      <x:c r="H13" s="24" t="n">
        <x:v>2</x:v>
      </x:c>
      <x:c r="I13" s="24" t="n">
        <x:f>SUM(E13:H13)</x:f>
        <x:v>11</x:v>
      </x:c>
      <x:c r="J13" s="25" t="n">
        <x:f>AVERAGE(E13:H13)</x:f>
        <x:v>2.75</x:v>
      </x:c>
      <x:c r="K13" s="24" t="str">
        <x:v>test</x:v>
      </x:c>
      <x:c r="L13" s="24" t="str">
        <x:v>Smiling sun</x:v>
      </x:c>
      <x:c r="M13" s="24" t="str">
        <x:v>sun-face transformation</x:v>
      </x:c>
      <x:c r="N13" s="24" t="str">
        <x:v>assistant_preliminary_visual_review</x:v>
      </x:c>
      <x:c r="O13" s="24" t="str">
        <x:v>NEEDS_HUMAN_VALIDATION_BEFORE_FINAL_RESEARCH_MODEL</x:v>
      </x:c>
    </x:row>
    <x:row r="14">
      <x:c r="A14" s="24" t="str">
        <x:v>S013</x:v>
      </x:c>
      <x:c r="B14" s="24" t="str">
        <x:v>PC01</x:v>
      </x:c>
      <x:c r="C14" s="24" t="str">
        <x:v>S013_PC01.jpeg</x:v>
      </x:c>
      <x:c r="D14" s="24" t="str">
        <x:v>images/picture_completion/S013_PC01.jpeg</x:v>
      </x:c>
      <x:c r="E14" s="24" t="n">
        <x:v>2</x:v>
      </x:c>
      <x:c r="F14" s="24" t="n">
        <x:v>3</x:v>
      </x:c>
      <x:c r="G14" s="24" t="n">
        <x:v>2</x:v>
      </x:c>
      <x:c r="H14" s="24" t="n">
        <x:v>2</x:v>
      </x:c>
      <x:c r="I14" s="24" t="n">
        <x:f>SUM(E14:H14)</x:f>
        <x:v>9</x:v>
      </x:c>
      <x:c r="J14" s="25" t="n">
        <x:f>AVERAGE(E14:H14)</x:f>
        <x:v>2.25</x:v>
      </x:c>
      <x:c r="K14" s="24" t="str">
        <x:v>train</x:v>
      </x:c>
      <x:c r="L14" s="24" t="str">
        <x:v>Sun with face</x:v>
      </x:c>
      <x:c r="M14" s="24" t="str">
        <x:v>sun-face transformation</x:v>
      </x:c>
      <x:c r="N14" s="24" t="str">
        <x:v>assistant_preliminary_visual_review</x:v>
      </x:c>
      <x:c r="O14" s="24" t="str">
        <x:v>NEEDS_HUMAN_VALIDATION_BEFORE_FINAL_RESEARCH_MODEL</x:v>
      </x:c>
    </x:row>
    <x:row r="15">
      <x:c r="A15" s="24" t="str">
        <x:v>S014</x:v>
      </x:c>
      <x:c r="B15" s="24" t="str">
        <x:v>PC01</x:v>
      </x:c>
      <x:c r="C15" s="24" t="str">
        <x:v>S014_PC01.jpeg</x:v>
      </x:c>
      <x:c r="D15" s="24" t="str">
        <x:v>images/picture_completion/S014_PC01.jpeg</x:v>
      </x:c>
      <x:c r="E15" s="24" t="n">
        <x:v>2</x:v>
      </x:c>
      <x:c r="F15" s="24" t="n">
        <x:v>3</x:v>
      </x:c>
      <x:c r="G15" s="24" t="n">
        <x:v>2</x:v>
      </x:c>
      <x:c r="H15" s="24" t="n">
        <x:v>2</x:v>
      </x:c>
      <x:c r="I15" s="24" t="n">
        <x:f>SUM(E15:H15)</x:f>
        <x:v>9</x:v>
      </x:c>
      <x:c r="J15" s="25" t="n">
        <x:f>AVERAGE(E15:H15)</x:f>
        <x:v>2.25</x:v>
      </x:c>
      <x:c r="K15" s="24" t="str">
        <x:v>test</x:v>
      </x:c>
      <x:c r="L15" s="24" t="str">
        <x:v>Sun with face</x:v>
      </x:c>
      <x:c r="M15" s="24" t="str">
        <x:v>sun-face transformation</x:v>
      </x:c>
      <x:c r="N15" s="24" t="str">
        <x:v>assistant_preliminary_visual_review</x:v>
      </x:c>
      <x:c r="O15" s="24" t="str">
        <x:v>NEEDS_HUMAN_VALIDATION_BEFORE_FINAL_RESEARCH_MODEL</x:v>
      </x:c>
    </x:row>
    <x:row r="16">
      <x:c r="A16" s="24" t="str">
        <x:v>S015</x:v>
      </x:c>
      <x:c r="B16" s="24" t="str">
        <x:v>PC01</x:v>
      </x:c>
      <x:c r="C16" s="24" t="str">
        <x:v>S015_PC01.jpeg</x:v>
      </x:c>
      <x:c r="D16" s="24" t="str">
        <x:v>images/picture_completion/S015_PC01.jpeg</x:v>
      </x:c>
      <x:c r="E16" s="24" t="n">
        <x:v>4</x:v>
      </x:c>
      <x:c r="F16" s="24" t="n">
        <x:v>3</x:v>
      </x:c>
      <x:c r="G16" s="24" t="n">
        <x:v>4</x:v>
      </x:c>
      <x:c r="H16" s="24" t="n">
        <x:v>3</x:v>
      </x:c>
      <x:c r="I16" s="24" t="n">
        <x:f>SUM(E16:H16)</x:f>
        <x:v>14</x:v>
      </x:c>
      <x:c r="J16" s="25" t="n">
        <x:f>AVERAGE(E16:H16)</x:f>
        <x:v>3.5</x:v>
      </x:c>
      <x:c r="K16" s="24" t="str">
        <x:v>test</x:v>
      </x:c>
      <x:c r="L16" s="24" t="str">
        <x:v>Abstract spiral or circular object</x:v>
      </x:c>
      <x:c r="M16" s="24" t="str">
        <x:v>abstract transformation</x:v>
      </x:c>
      <x:c r="N16" s="24" t="str">
        <x:v>assistant_preliminary_visual_review</x:v>
      </x:c>
      <x:c r="O16" s="24" t="str">
        <x:v>NEEDS_HUMAN_VALIDATION_BEFORE_FINAL_RESEARCH_MODEL</x:v>
      </x:c>
    </x:row>
    <x:row r="17">
      <x:c r="A17" s="24" t="str">
        <x:v>S016</x:v>
      </x:c>
      <x:c r="B17" s="24" t="str">
        <x:v>PC01</x:v>
      </x:c>
      <x:c r="C17" s="24" t="str">
        <x:v>S016_PC01.jpeg</x:v>
      </x:c>
      <x:c r="D17" s="24" t="str">
        <x:v>images/picture_completion/S016_PC01.jpeg</x:v>
      </x:c>
      <x:c r="E17" s="24" t="n">
        <x:v>2</x:v>
      </x:c>
      <x:c r="F17" s="24" t="n">
        <x:v>2</x:v>
      </x:c>
      <x:c r="G17" s="24" t="n">
        <x:v>2</x:v>
      </x:c>
      <x:c r="H17" s="24" t="n">
        <x:v>2</x:v>
      </x:c>
      <x:c r="I17" s="24" t="n">
        <x:f>SUM(E17:H17)</x:f>
        <x:v>8</x:v>
      </x:c>
      <x:c r="J17" s="25" t="n">
        <x:f>AVERAGE(E17:H17)</x:f>
        <x:v>2</x:v>
      </x:c>
      <x:c r="K17" s="24" t="str">
        <x:v>train</x:v>
      </x:c>
      <x:c r="L17" s="24" t="str">
        <x:v>Simple face or character</x:v>
      </x:c>
      <x:c r="M17" s="24" t="str">
        <x:v>face transformation</x:v>
      </x:c>
      <x:c r="N17" s="24" t="str">
        <x:v>assistant_preliminary_visual_review</x:v>
      </x:c>
      <x:c r="O17" s="24" t="str">
        <x:v>NEEDS_HUMAN_VALIDATION_BEFORE_FINAL_RESEARCH_MODEL</x:v>
      </x:c>
    </x:row>
    <x:row r="18">
      <x:c r="A18" s="24" t="str">
        <x:v>S017</x:v>
      </x:c>
      <x:c r="B18" s="24" t="str">
        <x:v>PC01</x:v>
      </x:c>
      <x:c r="C18" s="24" t="str">
        <x:v>S017_PC01.jpeg</x:v>
      </x:c>
      <x:c r="D18" s="24" t="str">
        <x:v>images/picture_completion/S017_PC01.jpeg</x:v>
      </x:c>
      <x:c r="E18" s="24" t="n">
        <x:v>2</x:v>
      </x:c>
      <x:c r="F18" s="24" t="n">
        <x:v>3</x:v>
      </x:c>
      <x:c r="G18" s="24" t="n">
        <x:v>2</x:v>
      </x:c>
      <x:c r="H18" s="24" t="n">
        <x:v>2</x:v>
      </x:c>
      <x:c r="I18" s="24" t="n">
        <x:f>SUM(E18:H18)</x:f>
        <x:v>9</x:v>
      </x:c>
      <x:c r="J18" s="25" t="n">
        <x:f>AVERAGE(E18:H18)</x:f>
        <x:v>2.25</x:v>
      </x:c>
      <x:c r="K18" s="24" t="str">
        <x:v>train</x:v>
      </x:c>
      <x:c r="L18" s="24" t="str">
        <x:v>Sun-like face</x:v>
      </x:c>
      <x:c r="M18" s="24" t="str">
        <x:v>sun-face transformation</x:v>
      </x:c>
      <x:c r="N18" s="24" t="str">
        <x:v>assistant_preliminary_visual_review</x:v>
      </x:c>
      <x:c r="O18" s="24" t="str">
        <x:v>NEEDS_HUMAN_VALIDATION_BEFORE_FINAL_RESEARCH_MODEL</x:v>
      </x:c>
    </x:row>
    <x:row r="19">
      <x:c r="A19" s="24" t="str">
        <x:v>S018</x:v>
      </x:c>
      <x:c r="B19" s="24" t="str">
        <x:v>PC01</x:v>
      </x:c>
      <x:c r="C19" s="24" t="str">
        <x:v>S018_PC01.jpeg</x:v>
      </x:c>
      <x:c r="D19" s="24" t="str">
        <x:v>images/picture_completion/S018_PC01.jpeg</x:v>
      </x:c>
      <x:c r="E19" s="24" t="n">
        <x:v>5</x:v>
      </x:c>
      <x:c r="F19" s="24" t="n">
        <x:v>5</x:v>
      </x:c>
      <x:c r="G19" s="24" t="n">
        <x:v>4</x:v>
      </x:c>
      <x:c r="H19" s="24" t="n">
        <x:v>3</x:v>
      </x:c>
      <x:c r="I19" s="24" t="n">
        <x:f>SUM(E19:H19)</x:f>
        <x:v>17</x:v>
      </x:c>
      <x:c r="J19" s="25" t="n">
        <x:f>AVERAGE(E19:H19)</x:f>
        <x:v>4.25</x:v>
      </x:c>
      <x:c r="K19" s="24" t="str">
        <x:v>test</x:v>
      </x:c>
      <x:c r="L19" s="24" t="str">
        <x:v>Full human character</x:v>
      </x:c>
      <x:c r="M19" s="24" t="str">
        <x:v>human-character transformation</x:v>
      </x:c>
      <x:c r="N19" s="24" t="str">
        <x:v>assistant_preliminary_visual_review</x:v>
      </x:c>
      <x:c r="O19" s="24" t="str">
        <x:v>NEEDS_HUMAN_VALIDATION_BEFORE_FINAL_RESEARCH_MODEL</x:v>
      </x:c>
    </x:row>
    <x:row r="20">
      <x:c r="A20" s="24" t="str">
        <x:v>S019</x:v>
      </x:c>
      <x:c r="B20" s="24" t="str">
        <x:v>PC01</x:v>
      </x:c>
      <x:c r="C20" s="24" t="str">
        <x:v>S019_PC01.jpeg</x:v>
      </x:c>
      <x:c r="D20" s="24" t="str">
        <x:v>images/picture_completion/S019_PC01.jpeg</x:v>
      </x:c>
      <x:c r="E20" s="24" t="n">
        <x:v>4</x:v>
      </x:c>
      <x:c r="F20" s="24" t="n">
        <x:v>3</x:v>
      </x:c>
      <x:c r="G20" s="24" t="n">
        <x:v>4</x:v>
      </x:c>
      <x:c r="H20" s="24" t="n">
        <x:v>3</x:v>
      </x:c>
      <x:c r="I20" s="24" t="n">
        <x:f>SUM(E20:H20)</x:f>
        <x:v>14</x:v>
      </x:c>
      <x:c r="J20" s="25" t="n">
        <x:f>AVERAGE(E20:H20)</x:f>
        <x:v>3.5</x:v>
      </x:c>
      <x:c r="K20" s="24" t="str">
        <x:v>train</x:v>
      </x:c>
      <x:c r="L20" s="24" t="str">
        <x:v>Small figure/object scene inside circle</x:v>
      </x:c>
      <x:c r="M20" s="24" t="str">
        <x:v>internal scene/object transformation</x:v>
      </x:c>
      <x:c r="N20" s="24" t="str">
        <x:v>assistant_preliminary_visual_review</x:v>
      </x:c>
      <x:c r="O20" s="24" t="str">
        <x:v>NEEDS_HUMAN_VALIDATION_BEFORE_FINAL_RESEARCH_MODEL</x:v>
      </x:c>
    </x:row>
    <x:row r="21">
      <x:c r="A21" s="24" t="str">
        <x:v>S020</x:v>
      </x:c>
      <x:c r="B21" s="24" t="str">
        <x:v>PC01</x:v>
      </x:c>
      <x:c r="C21" s="24" t="str">
        <x:v>S020_PC01.jpeg</x:v>
      </x:c>
      <x:c r="D21" s="24" t="str">
        <x:v>images/picture_completion/S020_PC01.jpeg</x:v>
      </x:c>
      <x:c r="E21" s="24" t="n">
        <x:v>3</x:v>
      </x:c>
      <x:c r="F21" s="24" t="n">
        <x:v>4</x:v>
      </x:c>
      <x:c r="G21" s="24" t="n">
        <x:v>3</x:v>
      </x:c>
      <x:c r="H21" s="24" t="n">
        <x:v>2</x:v>
      </x:c>
      <x:c r="I21" s="24" t="n">
        <x:f>SUM(E21:H21)</x:f>
        <x:v>12</x:v>
      </x:c>
      <x:c r="J21" s="25" t="n">
        <x:f>AVERAGE(E21:H21)</x:f>
        <x:v>3</x:v>
      </x:c>
      <x:c r="K21" s="24" t="str">
        <x:v>train</x:v>
      </x:c>
      <x:c r="L21" s="24" t="str">
        <x:v>Decorative sun or layered circular sun</x:v>
      </x:c>
      <x:c r="M21" s="24" t="str">
        <x:v>decorative sun transformation</x:v>
      </x:c>
      <x:c r="N21" s="24" t="str">
        <x:v>assistant_preliminary_visual_review</x:v>
      </x:c>
      <x:c r="O21" s="24" t="str">
        <x:v>NEEDS_HUMAN_VALIDATION_BEFORE_FINAL_RESEARCH_MODEL</x:v>
      </x:c>
    </x:row>
    <x:row r="22">
      <x:c r="A22" s="24" t="str">
        <x:v>S021</x:v>
      </x:c>
      <x:c r="B22" s="24" t="str">
        <x:v>PC01</x:v>
      </x:c>
      <x:c r="C22" s="24" t="str">
        <x:v>S021_PC01.jpeg</x:v>
      </x:c>
      <x:c r="D22" s="24" t="str">
        <x:v>images/picture_completion/S021_PC01.jpeg</x:v>
      </x:c>
      <x:c r="E22" s="24" t="n">
        <x:v>3</x:v>
      </x:c>
      <x:c r="F22" s="24" t="n">
        <x:v>4</x:v>
      </x:c>
      <x:c r="G22" s="24" t="n">
        <x:v>3</x:v>
      </x:c>
      <x:c r="H22" s="24" t="n">
        <x:v>2</x:v>
      </x:c>
      <x:c r="I22" s="24" t="n">
        <x:f>SUM(E22:H22)</x:f>
        <x:v>12</x:v>
      </x:c>
      <x:c r="J22" s="25" t="n">
        <x:f>AVERAGE(E22:H22)</x:f>
        <x:v>3</x:v>
      </x:c>
      <x:c r="K22" s="24" t="str">
        <x:v>train</x:v>
      </x:c>
      <x:c r="L22" s="24" t="str">
        <x:v>Red/orange face or character</x:v>
      </x:c>
      <x:c r="M22" s="24" t="str">
        <x:v>face/character transformation</x:v>
      </x:c>
      <x:c r="N22" s="24" t="str">
        <x:v>assistant_preliminary_visual_review</x:v>
      </x:c>
      <x:c r="O22" s="24" t="str">
        <x:v>NEEDS_HUMAN_VALIDATION_BEFORE_FINAL_RESEARCH_MODEL</x:v>
      </x:c>
    </x:row>
    <x:row r="23">
      <x:c r="A23" s="24" t="str">
        <x:v>S022</x:v>
      </x:c>
      <x:c r="B23" s="24" t="str">
        <x:v>PC01</x:v>
      </x:c>
      <x:c r="C23" s="24" t="str">
        <x:v>S022_PC01.jpeg</x:v>
      </x:c>
      <x:c r="D23" s="24" t="str">
        <x:v>images/picture_completion/S022_PC01.jpeg</x:v>
      </x:c>
      <x:c r="E23" s="24" t="n">
        <x:v>3</x:v>
      </x:c>
      <x:c r="F23" s="24" t="n">
        <x:v>3</x:v>
      </x:c>
      <x:c r="G23" s="24" t="n">
        <x:v>3</x:v>
      </x:c>
      <x:c r="H23" s="24" t="n">
        <x:v>2</x:v>
      </x:c>
      <x:c r="I23" s="24" t="n">
        <x:f>SUM(E23:H23)</x:f>
        <x:v>11</x:v>
      </x:c>
      <x:c r="J23" s="25" t="n">
        <x:f>AVERAGE(E23:H23)</x:f>
        <x:v>2.75</x:v>
      </x:c>
      <x:c r="K23" s="24" t="str">
        <x:v>train</x:v>
      </x:c>
      <x:c r="L23" s="24" t="str">
        <x:v>Yellow-and-black face/character</x:v>
      </x:c>
      <x:c r="M23" s="24" t="str">
        <x:v>contrasting face/character transformation</x:v>
      </x:c>
      <x:c r="N23" s="24" t="str">
        <x:v>assistant_preliminary_visual_review</x:v>
      </x:c>
      <x:c r="O23" s="24" t="str">
        <x:v>NEEDS_HUMAN_VALIDATION_BEFORE_FINAL_RESEARCH_MODEL</x:v>
      </x:c>
    </x:row>
    <x:row r="24">
      <x:c r="A24" s="24" t="str">
        <x:v>S023</x:v>
      </x:c>
      <x:c r="B24" s="24" t="str">
        <x:v>PC01</x:v>
      </x:c>
      <x:c r="C24" s="24" t="str">
        <x:v>S023_PC01.jpeg</x:v>
      </x:c>
      <x:c r="D24" s="24" t="str">
        <x:v>images/picture_completion/S023_PC01.jpeg</x:v>
      </x:c>
      <x:c r="E24" s="24" t="n">
        <x:v>4</x:v>
      </x:c>
      <x:c r="F24" s="24" t="n">
        <x:v>3</x:v>
      </x:c>
      <x:c r="G24" s="24" t="n">
        <x:v>4</x:v>
      </x:c>
      <x:c r="H24" s="24" t="n">
        <x:v>2</x:v>
      </x:c>
      <x:c r="I24" s="24" t="n">
        <x:f>SUM(E24:H24)</x:f>
        <x:v>13</x:v>
      </x:c>
      <x:c r="J24" s="25" t="n">
        <x:f>AVERAGE(E24:H24)</x:f>
        <x:v>3.25</x:v>
      </x:c>
      <x:c r="K24" s="24" t="str">
        <x:v>train</x:v>
      </x:c>
      <x:c r="L24" s="24" t="str">
        <x:v>Two-tone blue-purple face</x:v>
      </x:c>
      <x:c r="M24" s="24" t="str">
        <x:v>contrasting face transformation</x:v>
      </x:c>
      <x:c r="N24" s="24" t="str">
        <x:v>assistant_preliminary_visual_review</x:v>
      </x:c>
      <x:c r="O24" s="24" t="str">
        <x:v>NEEDS_HUMAN_VALIDATION_BEFORE_FINAL_RESEARCH_MODEL</x:v>
      </x:c>
    </x:row>
    <x:row r="25">
      <x:c r="A25" s="24" t="str">
        <x:v>S024</x:v>
      </x:c>
      <x:c r="B25" s="24" t="str">
        <x:v>PC01</x:v>
      </x:c>
      <x:c r="C25" s="24" t="str">
        <x:v>S024_PC01.jpeg</x:v>
      </x:c>
      <x:c r="D25" s="24" t="str">
        <x:v>images/picture_completion/S024_PC01.jpeg</x:v>
      </x:c>
      <x:c r="E25" s="24" t="n">
        <x:v>4</x:v>
      </x:c>
      <x:c r="F25" s="24" t="n">
        <x:v>4</x:v>
      </x:c>
      <x:c r="G25" s="24" t="n">
        <x:v>4</x:v>
      </x:c>
      <x:c r="H25" s="24" t="n">
        <x:v>3</x:v>
      </x:c>
      <x:c r="I25" s="24" t="n">
        <x:f>SUM(E25:H25)</x:f>
        <x:v>15</x:v>
      </x:c>
      <x:c r="J25" s="25" t="n">
        <x:f>AVERAGE(E25:H25)</x:f>
        <x:v>3.75</x:v>
      </x:c>
      <x:c r="K25" s="24" t="str">
        <x:v>train</x:v>
      </x:c>
      <x:c r="L25" s="24" t="str">
        <x:v>Detailed decorated face/character</x:v>
      </x:c>
      <x:c r="M25" s="24" t="str">
        <x:v>decorated face/character transformation</x:v>
      </x:c>
      <x:c r="N25" s="24" t="str">
        <x:v>assistant_preliminary_visual_review</x:v>
      </x:c>
      <x:c r="O25" s="24" t="str">
        <x:v>NEEDS_HUMAN_VALIDATION_BEFORE_FINAL_RESEARCH_MODEL</x:v>
      </x:c>
    </x:row>
    <x:row r="26">
      <x:c r="A26" s="24" t="str">
        <x:v>S025</x:v>
      </x:c>
      <x:c r="B26" s="24" t="str">
        <x:v>PC01</x:v>
      </x:c>
      <x:c r="C26" s="24" t="str">
        <x:v>S025_PC01.jpeg</x:v>
      </x:c>
      <x:c r="D26" s="24" t="str">
        <x:v>images/picture_completion/S025_PC01.jpeg</x:v>
      </x:c>
      <x:c r="E26" s="24" t="n">
        <x:v>3</x:v>
      </x:c>
      <x:c r="F26" s="24" t="n">
        <x:v>3</x:v>
      </x:c>
      <x:c r="G26" s="24" t="n">
        <x:v>3</x:v>
      </x:c>
      <x:c r="H26" s="24" t="n">
        <x:v>2</x:v>
      </x:c>
      <x:c r="I26" s="24" t="n">
        <x:f>SUM(E26:H26)</x:f>
        <x:v>11</x:v>
      </x:c>
      <x:c r="J26" s="25" t="n">
        <x:f>AVERAGE(E26:H26)</x:f>
        <x:v>2.75</x:v>
      </x:c>
      <x:c r="K26" s="24" t="str">
        <x:v>train</x:v>
      </x:c>
      <x:c r="L26" s="24" t="str">
        <x:v>Simple face with tongue</x:v>
      </x:c>
      <x:c r="M26" s="24" t="str">
        <x:v>face transformation</x:v>
      </x:c>
      <x:c r="N26" s="24" t="str">
        <x:v>assistant_preliminary_visual_review</x:v>
      </x:c>
      <x:c r="O26" s="24" t="str">
        <x:v>NEEDS_HUMAN_VALIDATION_BEFORE_FINAL_RESEARCH_MODEL</x:v>
      </x:c>
    </x:row>
    <x:row r="27">
      <x:c r="A27" s="24" t="str">
        <x:v>S026</x:v>
      </x:c>
      <x:c r="B27" s="24" t="str">
        <x:v>PC01</x:v>
      </x:c>
      <x:c r="C27" s="24" t="str">
        <x:v>S026_PC01.jpeg</x:v>
      </x:c>
      <x:c r="D27" s="24" t="str">
        <x:v>images/picture_completion/S026_PC01.jpeg</x:v>
      </x:c>
      <x:c r="E27" s="24" t="n">
        <x:v>3</x:v>
      </x:c>
      <x:c r="F27" s="24" t="n">
        <x:v>3</x:v>
      </x:c>
      <x:c r="G27" s="24" t="n">
        <x:v>3</x:v>
      </x:c>
      <x:c r="H27" s="24" t="n">
        <x:v>3</x:v>
      </x:c>
      <x:c r="I27" s="24" t="n">
        <x:f>SUM(E27:H27)</x:f>
        <x:v>12</x:v>
      </x:c>
      <x:c r="J27" s="25" t="n">
        <x:f>AVERAGE(E27:H27)</x:f>
        <x:v>3</x:v>
      </x:c>
      <x:c r="K27" s="24" t="str">
        <x:v>validation</x:v>
      </x:c>
      <x:c r="L27" s="24" t="str">
        <x:v>Orange face/character with faint external sketch</x:v>
      </x:c>
      <x:c r="M27" s="24" t="str">
        <x:v>face/character transformation with external extension</x:v>
      </x:c>
      <x:c r="N27" s="24" t="str">
        <x:v>assistant_preliminary_visual_review</x:v>
      </x:c>
      <x:c r="O27" s="24" t="str">
        <x:v>NEEDS_HUMAN_VALIDATION_BEFORE_FINAL_RESEARCH_MODEL</x:v>
      </x:c>
    </x:row>
    <x:row r="28">
      <x:c r="A28" s="24" t="str">
        <x:v>S027</x:v>
      </x:c>
      <x:c r="B28" s="24" t="str">
        <x:v>PC01</x:v>
      </x:c>
      <x:c r="C28" s="24" t="str">
        <x:v>S027_PC01.jpeg</x:v>
      </x:c>
      <x:c r="D28" s="24" t="str">
        <x:v>images/picture_completion/S027_PC01.jpeg</x:v>
      </x:c>
      <x:c r="E28" s="24" t="n">
        <x:v>2</x:v>
      </x:c>
      <x:c r="F28" s="24" t="n">
        <x:v>2</x:v>
      </x:c>
      <x:c r="G28" s="24" t="n">
        <x:v>2</x:v>
      </x:c>
      <x:c r="H28" s="24" t="n">
        <x:v>2</x:v>
      </x:c>
      <x:c r="I28" s="24" t="n">
        <x:f>SUM(E28:H28)</x:f>
        <x:v>8</x:v>
      </x:c>
      <x:c r="J28" s="25" t="n">
        <x:f>AVERAGE(E28:H28)</x:f>
        <x:v>2</x:v>
      </x:c>
      <x:c r="K28" s="24" t="str">
        <x:v>train</x:v>
      </x:c>
      <x:c r="L28" s="24" t="str">
        <x:v>Simple orange face</x:v>
      </x:c>
      <x:c r="M28" s="24" t="str">
        <x:v>simple face transformation</x:v>
      </x:c>
      <x:c r="N28" s="24" t="str">
        <x:v>assistant_preliminary_visual_review</x:v>
      </x:c>
      <x:c r="O28" s="24" t="str">
        <x:v>NEEDS_HUMAN_VALIDATION_BEFORE_FINAL_RESEARCH_MODEL</x:v>
      </x:c>
    </x:row>
    <x:row r="29">
      <x:c r="A29" s="24" t="str">
        <x:v>S028</x:v>
      </x:c>
      <x:c r="B29" s="24" t="str">
        <x:v>PC01</x:v>
      </x:c>
      <x:c r="C29" s="24" t="str">
        <x:v>S028_PC01.jpeg</x:v>
      </x:c>
      <x:c r="D29" s="24" t="str">
        <x:v>images/picture_completion/S028_PC01.jpeg</x:v>
      </x:c>
      <x:c r="E29" s="24" t="n">
        <x:v>3</x:v>
      </x:c>
      <x:c r="F29" s="24" t="n">
        <x:v>3</x:v>
      </x:c>
      <x:c r="G29" s="24" t="n">
        <x:v>3</x:v>
      </x:c>
      <x:c r="H29" s="24" t="n">
        <x:v>3</x:v>
      </x:c>
      <x:c r="I29" s="24" t="n">
        <x:f>SUM(E29:H29)</x:f>
        <x:v>12</x:v>
      </x:c>
      <x:c r="J29" s="25" t="n">
        <x:f>AVERAGE(E29:H29)</x:f>
        <x:v>3</x:v>
      </x:c>
      <x:c r="K29" s="24" t="str">
        <x:v>validation</x:v>
      </x:c>
      <x:c r="L29" s="24" t="str">
        <x:v>Yellow sun/face with faint rays and side shapes</x:v>
      </x:c>
      <x:c r="M29" s="24" t="str">
        <x:v>sun-face transformation with external additions</x:v>
      </x:c>
      <x:c r="N29" s="24" t="str">
        <x:v>assistant_preliminary_visual_review</x:v>
      </x:c>
      <x:c r="O29" s="24" t="str">
        <x:v>NEEDS_HUMAN_VALIDATION_BEFORE_FINAL_RESEARCH_MODEL</x:v>
      </x:c>
    </x:row>
    <x:row r="30">
      <x:c r="A30" s="24" t="str">
        <x:v>S029</x:v>
      </x:c>
      <x:c r="B30" s="24" t="str">
        <x:v>PC01</x:v>
      </x:c>
      <x:c r="C30" s="24" t="str">
        <x:v>S029_PC01.jpeg</x:v>
      </x:c>
      <x:c r="D30" s="24" t="str">
        <x:v>images/picture_completion/S029_PC01.jpeg</x:v>
      </x:c>
      <x:c r="E30" s="24" t="n">
        <x:v>2</x:v>
      </x:c>
      <x:c r="F30" s="24" t="n">
        <x:v>4</x:v>
      </x:c>
      <x:c r="G30" s="24" t="n">
        <x:v>3</x:v>
      </x:c>
      <x:c r="H30" s="24" t="n">
        <x:v>2</x:v>
      </x:c>
      <x:c r="I30" s="24" t="n">
        <x:f>SUM(E30:H30)</x:f>
        <x:v>11</x:v>
      </x:c>
      <x:c r="J30" s="25" t="n">
        <x:f>AVERAGE(E30:H30)</x:f>
        <x:v>2.75</x:v>
      </x:c>
      <x:c r="K30" s="24" t="str">
        <x:v>test</x:v>
      </x:c>
      <x:c r="L30" s="24" t="str">
        <x:v>Yellow sun with pointed rays and face</x:v>
      </x:c>
      <x:c r="M30" s="24" t="str">
        <x:v>sun-face transformation</x:v>
      </x:c>
      <x:c r="N30" s="24" t="str">
        <x:v>assistant_preliminary_visual_review</x:v>
      </x:c>
      <x:c r="O30" s="24" t="str">
        <x:v>NEEDS_HUMAN_VALIDATION_BEFORE_FINAL_RESEARCH_MODEL</x:v>
      </x:c>
    </x:row>
    <x:row r="31">
      <x:c r="A31" s="24" t="str">
        <x:v>S030</x:v>
      </x:c>
      <x:c r="B31" s="24" t="str">
        <x:v>PC01</x:v>
      </x:c>
      <x:c r="C31" s="24" t="str">
        <x:v>S030_PC01.jpeg</x:v>
      </x:c>
      <x:c r="D31" s="24" t="str">
        <x:v>images/picture_completion/S030_PC01.jpeg</x:v>
      </x:c>
      <x:c r="E31" s="24" t="n">
        <x:v>3</x:v>
      </x:c>
      <x:c r="F31" s="24" t="n">
        <x:v>3</x:v>
      </x:c>
      <x:c r="G31" s="24" t="n">
        <x:v>3</x:v>
      </x:c>
      <x:c r="H31" s="24" t="n">
        <x:v>2</x:v>
      </x:c>
      <x:c r="I31" s="24" t="n">
        <x:f>SUM(E31:H31)</x:f>
        <x:v>11</x:v>
      </x:c>
      <x:c r="J31" s="25" t="n">
        <x:f>AVERAGE(E31:H31)</x:f>
        <x:v>2.75</x:v>
      </x:c>
      <x:c r="K31" s="24" t="str">
        <x:v>validation</x:v>
      </x:c>
      <x:c r="L31" s="24" t="str">
        <x:v>Purple face/character</x:v>
      </x:c>
      <x:c r="M31" s="24" t="str">
        <x:v>face/character transformation</x:v>
      </x:c>
      <x:c r="N31" s="24" t="str">
        <x:v>assistant_preliminary_visual_review</x:v>
      </x:c>
      <x:c r="O31" s="24" t="str">
        <x:v>NEEDS_HUMAN_VALIDATION_BEFORE_FINAL_RESEARCH_MODEL</x:v>
      </x:c>
    </x:row>
    <x:row r="32">
      <x:c r="A32" s="24" t="str">
        <x:v>S031</x:v>
      </x:c>
      <x:c r="B32" s="24" t="str">
        <x:v>PC01</x:v>
      </x:c>
      <x:c r="C32" s="24" t="str">
        <x:v>S031_PC01.jpeg</x:v>
      </x:c>
      <x:c r="D32" s="24" t="str">
        <x:v>images/picture_completion/S031_PC01.jpeg</x:v>
      </x:c>
      <x:c r="E32" s="24" t="n">
        <x:v>5</x:v>
      </x:c>
      <x:c r="F32" s="24" t="n">
        <x:v>5</x:v>
      </x:c>
      <x:c r="G32" s="24" t="n">
        <x:v>4</x:v>
      </x:c>
      <x:c r="H32" s="24" t="n">
        <x:v>3</x:v>
      </x:c>
      <x:c r="I32" s="24" t="n">
        <x:f>SUM(E32:H32)</x:f>
        <x:v>17</x:v>
      </x:c>
      <x:c r="J32" s="25" t="n">
        <x:f>AVERAGE(E32:H32)</x:f>
        <x:v>4.25</x:v>
      </x:c>
      <x:c r="K32" s="24" t="str">
        <x:v>train</x:v>
      </x:c>
      <x:c r="L32" s="24" t="str">
        <x:v>Full human character using circle as head</x:v>
      </x:c>
      <x:c r="M32" s="24" t="str">
        <x:v>human-character transformation</x:v>
      </x:c>
      <x:c r="N32" s="24" t="str">
        <x:v>assistant_preliminary_visual_review</x:v>
      </x:c>
      <x:c r="O32" s="24" t="str">
        <x:v>NEEDS_HUMAN_VALIDATION_BEFORE_FINAL_RESEARCH_MODEL</x:v>
      </x:c>
    </x:row>
    <x:row r="33">
      <x:c r="A33" s="24" t="str">
        <x:v>S032</x:v>
      </x:c>
      <x:c r="B33" s="24" t="str">
        <x:v>PC01</x:v>
      </x:c>
      <x:c r="C33" s="24" t="str">
        <x:v>S032_PC01.jpeg</x:v>
      </x:c>
      <x:c r="D33" s="24" t="str">
        <x:v>images/picture_completion/S032_PC01.jpeg</x:v>
      </x:c>
      <x:c r="E33" s="24" t="n">
        <x:v>5</x:v>
      </x:c>
      <x:c r="F33" s="24" t="n">
        <x:v>5</x:v>
      </x:c>
      <x:c r="G33" s="24" t="n">
        <x:v>5</x:v>
      </x:c>
      <x:c r="H33" s="24" t="n">
        <x:v>4</x:v>
      </x:c>
      <x:c r="I33" s="24" t="n">
        <x:f>SUM(E33:H33)</x:f>
        <x:v>19</x:v>
      </x:c>
      <x:c r="J33" s="25" t="n">
        <x:f>AVERAGE(E33:H33)</x:f>
        <x:v>4.75</x:v>
      </x:c>
      <x:c r="K33" s="24" t="str">
        <x:v>test</x:v>
      </x:c>
      <x:c r="L33" s="24" t="str">
        <x:v>Character/robot-like figure with surrounding scene</x:v>
      </x:c>
      <x:c r="M33" s="24" t="str">
        <x:v>character plus scene transformation</x:v>
      </x:c>
      <x:c r="N33" s="24" t="str">
        <x:v>assistant_preliminary_visual_review</x:v>
      </x:c>
      <x:c r="O33" s="24" t="str">
        <x:v>NEEDS_HUMAN_VALIDATION_BEFORE_FINAL_RESEARCH_MODEL</x:v>
      </x:c>
    </x:row>
    <x:row r="34">
      <x:c r="A34" s="24" t="str">
        <x:v>S033</x:v>
      </x:c>
      <x:c r="B34" s="24" t="str">
        <x:v>PC01</x:v>
      </x:c>
      <x:c r="C34" s="24" t="str">
        <x:v>S033_PC01.jpeg</x:v>
      </x:c>
      <x:c r="D34" s="24" t="str">
        <x:v>images/picture_completion/S033_PC01.jpeg</x:v>
      </x:c>
      <x:c r="E34" s="24" t="n">
        <x:v>2</x:v>
      </x:c>
      <x:c r="F34" s="24" t="n">
        <x:v>2</x:v>
      </x:c>
      <x:c r="G34" s="24" t="n">
        <x:v>2</x:v>
      </x:c>
      <x:c r="H34" s="24" t="n">
        <x:v>2</x:v>
      </x:c>
      <x:c r="I34" s="24" t="n">
        <x:f>SUM(E34:H34)</x:f>
        <x:v>8</x:v>
      </x:c>
      <x:c r="J34" s="25" t="n">
        <x:f>AVERAGE(E34:H34)</x:f>
        <x:v>2</x:v>
      </x:c>
      <x:c r="K34" s="24" t="str">
        <x:v>train</x:v>
      </x:c>
      <x:c r="L34" s="24" t="str">
        <x:v>Simple pink face</x:v>
      </x:c>
      <x:c r="M34" s="24" t="str">
        <x:v>simple face transformation</x:v>
      </x:c>
      <x:c r="N34" s="24" t="str">
        <x:v>assistant_preliminary_visual_review</x:v>
      </x:c>
      <x:c r="O34" s="24" t="str">
        <x:v>NEEDS_HUMAN_VALIDATION_BEFORE_FINAL_RESEARCH_MODEL</x:v>
      </x:c>
    </x:row>
    <x:row r="35">
      <x:c r="A35" s="24" t="str">
        <x:v>S034</x:v>
      </x:c>
      <x:c r="B35" s="24" t="str">
        <x:v>PC01</x:v>
      </x:c>
      <x:c r="C35" s="24" t="str">
        <x:v>S034_PC01.jpeg</x:v>
      </x:c>
      <x:c r="D35" s="24" t="str">
        <x:v>images/picture_completion/S034_PC01.jpeg</x:v>
      </x:c>
      <x:c r="E35" s="24" t="n">
        <x:v>5</x:v>
      </x:c>
      <x:c r="F35" s="24" t="n">
        <x:v>5</x:v>
      </x:c>
      <x:c r="G35" s="24" t="n">
        <x:v>4</x:v>
      </x:c>
      <x:c r="H35" s="24" t="n">
        <x:v>3</x:v>
      </x:c>
      <x:c r="I35" s="24" t="n">
        <x:f>SUM(E35:H35)</x:f>
        <x:v>17</x:v>
      </x:c>
      <x:c r="J35" s="25" t="n">
        <x:f>AVERAGE(E35:H35)</x:f>
        <x:v>4.25</x:v>
      </x:c>
      <x:c r="K35" s="24" t="str">
        <x:v>train</x:v>
      </x:c>
      <x:c r="L35" s="24" t="str">
        <x:v>Full human character with detailed clothing</x:v>
      </x:c>
      <x:c r="M35" s="24" t="str">
        <x:v>human-character transformation</x:v>
      </x:c>
      <x:c r="N35" s="24" t="str">
        <x:v>assistant_preliminary_visual_review</x:v>
      </x:c>
      <x:c r="O35" s="24" t="str">
        <x:v>NEEDS_HUMAN_VALIDATION_BEFORE_FINAL_RESEARCH_MODEL</x:v>
      </x:c>
    </x:row>
    <x:row r="36">
      <x:c r="A36" s="24" t="str">
        <x:v>S035</x:v>
      </x:c>
      <x:c r="B36" s="24" t="str">
        <x:v>PC01</x:v>
      </x:c>
      <x:c r="C36" s="24" t="str">
        <x:v>S035_PC01.jpeg</x:v>
      </x:c>
      <x:c r="D36" s="24" t="str">
        <x:v>images/picture_completion/S035_PC01.jpeg</x:v>
      </x:c>
      <x:c r="E36" s="24" t="n">
        <x:v>2</x:v>
      </x:c>
      <x:c r="F36" s="24" t="n">
        <x:v>3</x:v>
      </x:c>
      <x:c r="G36" s="24" t="n">
        <x:v>3</x:v>
      </x:c>
      <x:c r="H36" s="24" t="n">
        <x:v>2</x:v>
      </x:c>
      <x:c r="I36" s="24" t="n">
        <x:f>SUM(E36:H36)</x:f>
        <x:v>10</x:v>
      </x:c>
      <x:c r="J36" s="25" t="n">
        <x:f>AVERAGE(E36:H36)</x:f>
        <x:v>2.5</x:v>
      </x:c>
      <x:c r="K36" s="24" t="str">
        <x:v>train</x:v>
      </x:c>
      <x:c r="L36" s="24" t="str">
        <x:v>Sun-like smiling face with long rays</x:v>
      </x:c>
      <x:c r="M36" s="24" t="str">
        <x:v>sun-face transformation</x:v>
      </x:c>
      <x:c r="N36" s="24" t="str">
        <x:v>assistant_preliminary_visual_review</x:v>
      </x:c>
      <x:c r="O36" s="24" t="str">
        <x:v>NEEDS_HUMAN_VALIDATION_BEFORE_FINAL_RESEARCH_MODEL</x:v>
      </x:c>
    </x:row>
    <x:row r="37">
      <x:c r="A37" s="24" t="str">
        <x:v>S036</x:v>
      </x:c>
      <x:c r="B37" s="24" t="str">
        <x:v>PC01</x:v>
      </x:c>
      <x:c r="C37" s="24" t="str">
        <x:v>S036_PC01.jpeg</x:v>
      </x:c>
      <x:c r="D37" s="24" t="str">
        <x:v>images/picture_completion/S036_PC01.jpeg</x:v>
      </x:c>
      <x:c r="E37" s="24" t="n">
        <x:v>5</x:v>
      </x:c>
      <x:c r="F37" s="24" t="n">
        <x:v>5</x:v>
      </x:c>
      <x:c r="G37" s="24" t="n">
        <x:v>5</x:v>
      </x:c>
      <x:c r="H37" s="24" t="n">
        <x:v>4</x:v>
      </x:c>
      <x:c r="I37" s="24" t="n">
        <x:f>SUM(E37:H37)</x:f>
        <x:v>19</x:v>
      </x:c>
      <x:c r="J37" s="25" t="n">
        <x:f>AVERAGE(E37:H37)</x:f>
        <x:v>4.75</x:v>
      </x:c>
      <x:c r="K37" s="24" t="str">
        <x:v>test</x:v>
      </x:c>
      <x:c r="L37" s="24" t="str">
        <x:v>Flower-like face</x:v>
      </x:c>
      <x:c r="M37" s="24" t="str">
        <x:v>flower-character transformation</x:v>
      </x:c>
      <x:c r="N37" s="24" t="str">
        <x:v>assistant_preliminary_visual_review</x:v>
      </x:c>
      <x:c r="O37" s="24" t="str">
        <x:v>NEEDS_HUMAN_VALIDATION_BEFORE_FINAL_RESEARCH_MODEL</x:v>
      </x:c>
    </x:row>
    <x:row r="38">
      <x:c r="A38" s="24" t="str">
        <x:v>S037</x:v>
      </x:c>
      <x:c r="B38" s="24" t="str">
        <x:v>PC01</x:v>
      </x:c>
      <x:c r="C38" s="24" t="str">
        <x:v>S037_PC01.jpeg</x:v>
      </x:c>
      <x:c r="D38" s="24" t="str">
        <x:v>images/picture_completion/S037_PC01.jpeg</x:v>
      </x:c>
      <x:c r="E38" s="24" t="n">
        <x:v>5</x:v>
      </x:c>
      <x:c r="F38" s="24" t="n">
        <x:v>5</x:v>
      </x:c>
      <x:c r="G38" s="24" t="n">
        <x:v>5</x:v>
      </x:c>
      <x:c r="H38" s="24" t="n">
        <x:v>5</x:v>
      </x:c>
      <x:c r="I38" s="24" t="n">
        <x:f>SUM(E38:H38)</x:f>
        <x:v>20</x:v>
      </x:c>
      <x:c r="J38" s="25" t="n">
        <x:f>AVERAGE(E38:H38)</x:f>
        <x:v>5</x:v>
      </x:c>
      <x:c r="K38" s="24" t="str">
        <x:v>train</x:v>
      </x:c>
      <x:c r="L38" s="24" t="str">
        <x:v>Fantasy garden/flower character scene</x:v>
      </x:c>
      <x:c r="M38" s="24" t="str">
        <x:v>scene-based character transformation</x:v>
      </x:c>
      <x:c r="N38" s="24" t="str">
        <x:v>assistant_preliminary_visual_review</x:v>
      </x:c>
      <x:c r="O38" s="24" t="str">
        <x:v>NEEDS_HUMAN_VALIDATION_BEFORE_FINAL_RESEARCH_MODEL</x:v>
      </x:c>
    </x:row>
    <x:row r="39">
      <x:c r="A39" s="24" t="str">
        <x:v>S038</x:v>
      </x:c>
      <x:c r="B39" s="24" t="str">
        <x:v>PC01</x:v>
      </x:c>
      <x:c r="C39" s="24" t="str">
        <x:v>S038_PC01.jpeg</x:v>
      </x:c>
      <x:c r="D39" s="24" t="str">
        <x:v>images/picture_completion/S038_PC01.jpeg</x:v>
      </x:c>
      <x:c r="E39" s="24" t="n">
        <x:v>5</x:v>
      </x:c>
      <x:c r="F39" s="24" t="n">
        <x:v>5</x:v>
      </x:c>
      <x:c r="G39" s="24" t="n">
        <x:v>5</x:v>
      </x:c>
      <x:c r="H39" s="24" t="n">
        <x:v>4</x:v>
      </x:c>
      <x:c r="I39" s="24" t="n">
        <x:f>SUM(E39:H39)</x:f>
        <x:v>19</x:v>
      </x:c>
      <x:c r="J39" s="25" t="n">
        <x:f>AVERAGE(E39:H39)</x:f>
        <x:v>4.75</x:v>
      </x:c>
      <x:c r="K39" s="24" t="str">
        <x:v>train</x:v>
      </x:c>
      <x:c r="L39" s="24" t="str">
        <x:v>Girl/character in outdoor or water scene</x:v>
      </x:c>
      <x:c r="M39" s="24" t="str">
        <x:v>character-in-scene transformation</x:v>
      </x:c>
      <x:c r="N39" s="24" t="str">
        <x:v>assistant_preliminary_visual_review</x:v>
      </x:c>
      <x:c r="O39" s="24" t="str">
        <x:v>NEEDS_HUMAN_VALIDATION_BEFORE_FINAL_RESEARCH_MODEL</x:v>
      </x:c>
    </x:row>
    <x:row r="40">
      <x:c r="A40" s="24" t="str">
        <x:v>S039</x:v>
      </x:c>
      <x:c r="B40" s="24" t="str">
        <x:v>PC01</x:v>
      </x:c>
      <x:c r="C40" s="24" t="str">
        <x:v>S039_PC01.jpeg</x:v>
      </x:c>
      <x:c r="D40" s="24" t="str">
        <x:v>images/picture_completion/S039_PC01.jpeg</x:v>
      </x:c>
      <x:c r="E40" s="24" t="n">
        <x:v>4</x:v>
      </x:c>
      <x:c r="F40" s="24" t="n">
        <x:v>5</x:v>
      </x:c>
      <x:c r="G40" s="24" t="n">
        <x:v>4</x:v>
      </x:c>
      <x:c r="H40" s="24" t="n">
        <x:v>3</x:v>
      </x:c>
      <x:c r="I40" s="24" t="n">
        <x:f>SUM(E40:H40)</x:f>
        <x:v>16</x:v>
      </x:c>
      <x:c r="J40" s="25" t="n">
        <x:f>AVERAGE(E40:H40)</x:f>
        <x:v>4</x:v>
      </x:c>
      <x:c r="K40" s="24" t="str">
        <x:v>train</x:v>
      </x:c>
      <x:c r="L40" s="24" t="str">
        <x:v>Decorative sun/flower face</x:v>
      </x:c>
      <x:c r="M40" s="24" t="str">
        <x:v>decorative sun-flower transformation</x:v>
      </x:c>
      <x:c r="N40" s="24" t="str">
        <x:v>assistant_preliminary_visual_review</x:v>
      </x:c>
      <x:c r="O40" s="24" t="str">
        <x:v>NEEDS_HUMAN_VALIDATION_BEFORE_FINAL_RESEARCH_MODEL</x:v>
      </x:c>
    </x:row>
    <x:row r="41">
      <x:c r="A41" s="24" t="str">
        <x:v>S040</x:v>
      </x:c>
      <x:c r="B41" s="24" t="str">
        <x:v>PC01</x:v>
      </x:c>
      <x:c r="C41" s="24" t="str">
        <x:v>S040_PC01.jpeg</x:v>
      </x:c>
      <x:c r="D41" s="24" t="str">
        <x:v>images/picture_completion/S040_PC01.jpeg</x:v>
      </x:c>
      <x:c r="E41" s="24" t="n">
        <x:v>5</x:v>
      </x:c>
      <x:c r="F41" s="24" t="n">
        <x:v>5</x:v>
      </x:c>
      <x:c r="G41" s="24" t="n">
        <x:v>5</x:v>
      </x:c>
      <x:c r="H41" s="24" t="n">
        <x:v>4</x:v>
      </x:c>
      <x:c r="I41" s="24" t="n">
        <x:f>SUM(E41:H41)</x:f>
        <x:v>19</x:v>
      </x:c>
      <x:c r="J41" s="25" t="n">
        <x:f>AVERAGE(E41:H41)</x:f>
        <x:v>4.75</x:v>
      </x:c>
      <x:c r="K41" s="24" t="str">
        <x:v>train</x:v>
      </x:c>
      <x:c r="L41" s="24" t="str">
        <x:v>Flower character in full background scene</x:v>
      </x:c>
      <x:c r="M41" s="24" t="str">
        <x:v>flower-character scene transformation</x:v>
      </x:c>
      <x:c r="N41" s="24" t="str">
        <x:v>assistant_preliminary_visual_review</x:v>
      </x:c>
      <x:c r="O41" s="24" t="str">
        <x:v>NEEDS_HUMAN_VALIDATION_BEFORE_FINAL_RESEARCH_MODEL</x:v>
      </x:c>
    </x:row>
    <x:row r="42">
      <x:c r="A42" s="24" t="str">
        <x:v>S041</x:v>
      </x:c>
      <x:c r="B42" s="24" t="str">
        <x:v>PC01</x:v>
      </x:c>
      <x:c r="C42" s="24" t="str">
        <x:v>S041_PC01.jpeg</x:v>
      </x:c>
      <x:c r="D42" s="24" t="str">
        <x:v>images/picture_completion/S041_PC01.jpeg</x:v>
      </x:c>
      <x:c r="E42" s="24" t="n">
        <x:v>5</x:v>
      </x:c>
      <x:c r="F42" s="24" t="n">
        <x:v>5</x:v>
      </x:c>
      <x:c r="G42" s="24" t="n">
        <x:v>5</x:v>
      </x:c>
      <x:c r="H42" s="24" t="n">
        <x:v>5</x:v>
      </x:c>
      <x:c r="I42" s="24" t="n">
        <x:f>SUM(E42:H42)</x:f>
        <x:v>20</x:v>
      </x:c>
      <x:c r="J42" s="25" t="n">
        <x:f>AVERAGE(E42:H42)</x:f>
        <x:v>5</x:v>
      </x:c>
      <x:c r="K42" s="24" t="str">
        <x:v>train</x:v>
      </x:c>
      <x:c r="L42" s="24" t="str">
        <x:v>Rainbow sun/character in decorative sky scene</x:v>
      </x:c>
      <x:c r="M42" s="24" t="str">
        <x:v>sun-character scene transformation</x:v>
      </x:c>
      <x:c r="N42" s="24" t="str">
        <x:v>assistant_preliminary_visual_review</x:v>
      </x:c>
      <x:c r="O42" s="24" t="str">
        <x:v>NEEDS_HUMAN_VALIDATION_BEFORE_FINAL_RESEARCH_MODEL</x:v>
      </x:c>
    </x:row>
    <x:row r="43">
      <x:c r="A43" s="24" t="str">
        <x:v>S042</x:v>
      </x:c>
      <x:c r="B43" s="24" t="str">
        <x:v>PC01</x:v>
      </x:c>
      <x:c r="C43" s="24" t="str">
        <x:v>S042_PC01.jpeg</x:v>
      </x:c>
      <x:c r="D43" s="24" t="str">
        <x:v>images/picture_completion/S042_PC01.jpeg</x:v>
      </x:c>
      <x:c r="E43" s="24" t="n">
        <x:v>5</x:v>
      </x:c>
      <x:c r="F43" s="24" t="n">
        <x:v>5</x:v>
      </x:c>
      <x:c r="G43" s="24" t="n">
        <x:v>5</x:v>
      </x:c>
      <x:c r="H43" s="24" t="n">
        <x:v>5</x:v>
      </x:c>
      <x:c r="I43" s="24" t="n">
        <x:f>SUM(E43:H43)</x:f>
        <x:v>20</x:v>
      </x:c>
      <x:c r="J43" s="25" t="n">
        <x:f>AVERAGE(E43:H43)</x:f>
        <x:v>5</x:v>
      </x:c>
      <x:c r="K43" s="24" t="str">
        <x:v>train</x:v>
      </x:c>
      <x:c r="L43" s="24" t="str">
        <x:v>Animal/character with flowers and outdoor scene</x:v>
      </x:c>
      <x:c r="M43" s="24" t="str">
        <x:v>character-in-scene transformation</x:v>
      </x:c>
      <x:c r="N43" s="24" t="str">
        <x:v>assistant_preliminary_visual_review</x:v>
      </x:c>
      <x:c r="O43" s="24" t="str">
        <x:v>NEEDS_HUMAN_VALIDATION_BEFORE_FINAL_RESEARCH_MODEL</x:v>
      </x:c>
    </x:row>
    <x:row r="44">
      <x:c r="A44" s="24" t="str">
        <x:v>S043</x:v>
      </x:c>
      <x:c r="B44" s="24" t="str">
        <x:v>PC01</x:v>
      </x:c>
      <x:c r="C44" s="24" t="str">
        <x:v>S043_PC01.jpeg</x:v>
      </x:c>
      <x:c r="D44" s="24" t="str">
        <x:v>images/picture_completion/S043_PC01.jpeg</x:v>
      </x:c>
      <x:c r="E44" s="24" t="n">
        <x:v>5</x:v>
      </x:c>
      <x:c r="F44" s="24" t="n">
        <x:v>5</x:v>
      </x:c>
      <x:c r="G44" s="24" t="n">
        <x:v>5</x:v>
      </x:c>
      <x:c r="H44" s="24" t="n">
        <x:v>5</x:v>
      </x:c>
      <x:c r="I44" s="24" t="n">
        <x:f>SUM(E44:H44)</x:f>
        <x:v>20</x:v>
      </x:c>
      <x:c r="J44" s="25" t="n">
        <x:f>AVERAGE(E44:H44)</x:f>
        <x:v>5</x:v>
      </x:c>
      <x:c r="K44" s="24" t="str">
        <x:v>train</x:v>
      </x:c>
      <x:c r="L44" s="24" t="str">
        <x:v>Rabbit in garden scene</x:v>
      </x:c>
      <x:c r="M44" s="24" t="str">
        <x:v>animal-in-scene transformation</x:v>
      </x:c>
      <x:c r="N44" s="24" t="str">
        <x:v>assistant_preliminary_visual_review</x:v>
      </x:c>
      <x:c r="O44" s="24" t="str">
        <x:v>NEEDS_HUMAN_VALIDATION_BEFORE_FINAL_RESEARCH_MODEL</x:v>
      </x:c>
    </x:row>
    <x:row r="45">
      <x:c r="A45" s="24" t="str">
        <x:v>S044</x:v>
      </x:c>
      <x:c r="B45" s="24" t="str">
        <x:v>PC01</x:v>
      </x:c>
      <x:c r="C45" s="24" t="str">
        <x:v>S044_PC01.jpeg</x:v>
      </x:c>
      <x:c r="D45" s="24" t="str">
        <x:v>images/picture_completion/S044_PC01.jpeg</x:v>
      </x:c>
      <x:c r="E45" s="24" t="n">
        <x:v>3</x:v>
      </x:c>
      <x:c r="F45" s="24" t="n">
        <x:v>2</x:v>
      </x:c>
      <x:c r="G45" s="24" t="n">
        <x:v>3</x:v>
      </x:c>
      <x:c r="H45" s="24" t="n">
        <x:v>2</x:v>
      </x:c>
      <x:c r="I45" s="24" t="n">
        <x:f>SUM(E45:H45)</x:f>
        <x:v>10</x:v>
      </x:c>
      <x:c r="J45" s="25" t="n">
        <x:f>AVERAGE(E45:H45)</x:f>
        <x:v>2.5</x:v>
      </x:c>
      <x:c r="K45" s="24" t="str">
        <x:v>train</x:v>
      </x:c>
      <x:c r="L45" s="24" t="str">
        <x:v>Apple-like face/fruit character</x:v>
      </x:c>
      <x:c r="M45" s="24" t="str">
        <x:v>fruit/face transformation</x:v>
      </x:c>
      <x:c r="N45" s="24" t="str">
        <x:v>assistant_preliminary_visual_review</x:v>
      </x:c>
      <x:c r="O45" s="24" t="str">
        <x:v>NEEDS_HUMAN_VALIDATION_BEFORE_FINAL_RESEARCH_MODEL</x:v>
      </x:c>
    </x:row>
    <x:row r="46">
      <x:c r="A46" s="24" t="str">
        <x:v>S045</x:v>
      </x:c>
      <x:c r="B46" s="24" t="str">
        <x:v>PC01</x:v>
      </x:c>
      <x:c r="C46" s="24" t="str">
        <x:v>S045_PC01.jpeg</x:v>
      </x:c>
      <x:c r="D46" s="24" t="str">
        <x:v>images/picture_completion/S045_PC01.jpeg</x:v>
      </x:c>
      <x:c r="E46" s="24" t="n">
        <x:v>3</x:v>
      </x:c>
      <x:c r="F46" s="24" t="n">
        <x:v>5</x:v>
      </x:c>
      <x:c r="G46" s="24" t="n">
        <x:v>4</x:v>
      </x:c>
      <x:c r="H46" s="24" t="n">
        <x:v>4</x:v>
      </x:c>
      <x:c r="I46" s="24" t="n">
        <x:f>SUM(E46:H46)</x:f>
        <x:v>16</x:v>
      </x:c>
      <x:c r="J46" s="25" t="n">
        <x:f>AVERAGE(E46:H46)</x:f>
        <x:v>4</x:v>
      </x:c>
      <x:c r="K46" s="24" t="str">
        <x:v>train</x:v>
      </x:c>
      <x:c r="L46" s="24" t="str">
        <x:v>Smiling sun in full blue-sky scene</x:v>
      </x:c>
      <x:c r="M46" s="24" t="str">
        <x:v>sun-in-scene transformation</x:v>
      </x:c>
      <x:c r="N46" s="24" t="str">
        <x:v>assistant_preliminary_visual_review</x:v>
      </x:c>
      <x:c r="O46" s="24" t="str">
        <x:v>NEEDS_HUMAN_VALIDATION_BEFORE_FINAL_RESEARCH_MODEL</x:v>
      </x:c>
    </x:row>
    <x:row r="47">
      <x:c r="A47" s="24" t="str">
        <x:v>S046</x:v>
      </x:c>
      <x:c r="B47" s="24" t="str">
        <x:v>PC01</x:v>
      </x:c>
      <x:c r="C47" s="24" t="str">
        <x:v>S046_PC01.jpeg</x:v>
      </x:c>
      <x:c r="D47" s="24" t="str">
        <x:v>images/picture_completion/S046_PC01.jpeg</x:v>
      </x:c>
      <x:c r="E47" s="24" t="n">
        <x:v>5</x:v>
      </x:c>
      <x:c r="F47" s="24" t="n">
        <x:v>4</x:v>
      </x:c>
      <x:c r="G47" s="24" t="n">
        <x:v>5</x:v>
      </x:c>
      <x:c r="H47" s="24" t="n">
        <x:v>5</x:v>
      </x:c>
      <x:c r="I47" s="24" t="n">
        <x:f>SUM(E47:H47)</x:f>
        <x:v>19</x:v>
      </x:c>
      <x:c r="J47" s="25" t="n">
        <x:f>AVERAGE(E47:H47)</x:f>
        <x:v>4.75</x:v>
      </x:c>
      <x:c r="K47" s="24" t="str">
        <x:v>train</x:v>
      </x:c>
      <x:c r="L47" s="24" t="str">
        <x:v>Bird/water scene with second bird</x:v>
      </x:c>
      <x:c r="M47" s="24" t="str">
        <x:v>animal scene transformation</x:v>
      </x:c>
      <x:c r="N47" s="24" t="str">
        <x:v>assistant_preliminary_visual_review</x:v>
      </x:c>
      <x:c r="O47" s="24" t="str">
        <x:v>NEEDS_HUMAN_VALIDATION_BEFORE_FINAL_RESEARCH_MODEL</x:v>
      </x:c>
    </x:row>
    <x:row r="48">
      <x:c r="A48" s="24" t="str">
        <x:v>S047</x:v>
      </x:c>
      <x:c r="B48" s="24" t="str">
        <x:v>PC01</x:v>
      </x:c>
      <x:c r="C48" s="24" t="str">
        <x:v>S047_PC01.jpeg</x:v>
      </x:c>
      <x:c r="D48" s="24" t="str">
        <x:v>images/picture_completion/S047_PC01.jpeg</x:v>
      </x:c>
      <x:c r="E48" s="24" t="n">
        <x:v>5</x:v>
      </x:c>
      <x:c r="F48" s="24" t="n">
        <x:v>4</x:v>
      </x:c>
      <x:c r="G48" s="24" t="n">
        <x:v>5</x:v>
      </x:c>
      <x:c r="H48" s="24" t="n">
        <x:v>4</x:v>
      </x:c>
      <x:c r="I48" s="24" t="n">
        <x:f>SUM(E48:H48)</x:f>
        <x:v>18</x:v>
      </x:c>
      <x:c r="J48" s="25" t="n">
        <x:f>AVERAGE(E48:H48)</x:f>
        <x:v>4.5</x:v>
      </x:c>
      <x:c r="K48" s="24" t="str">
        <x:v>train</x:v>
      </x:c>
      <x:c r="L48" s="24" t="str">
        <x:v>Color wheel / pinwheel / lollipop-like object</x:v>
      </x:c>
      <x:c r="M48" s="24" t="str">
        <x:v>object transformation</x:v>
      </x:c>
      <x:c r="N48" s="24" t="str">
        <x:v>assistant_preliminary_visual_review</x:v>
      </x:c>
      <x:c r="O48" s="24" t="str">
        <x:v>NEEDS_HUMAN_VALIDATION_BEFORE_FINAL_RESEARCH_MODEL</x:v>
      </x:c>
    </x:row>
    <x:row r="49">
      <x:c r="A49" s="24" t="str">
        <x:v>S048</x:v>
      </x:c>
      <x:c r="B49" s="24" t="str">
        <x:v>PC01</x:v>
      </x:c>
      <x:c r="C49" s="24" t="str">
        <x:v>S048_PC01.jpeg</x:v>
      </x:c>
      <x:c r="D49" s="24" t="str">
        <x:v>images/picture_completion/S048_PC01.jpeg</x:v>
      </x:c>
      <x:c r="E49" s="24" t="n">
        <x:v>5</x:v>
      </x:c>
      <x:c r="F49" s="24" t="n">
        <x:v>4</x:v>
      </x:c>
      <x:c r="G49" s="24" t="n">
        <x:v>5</x:v>
      </x:c>
      <x:c r="H49" s="24" t="n">
        <x:v>3</x:v>
      </x:c>
      <x:c r="I49" s="24" t="n">
        <x:f>SUM(E49:H49)</x:f>
        <x:v>17</x:v>
      </x:c>
      <x:c r="J49" s="25" t="n">
        <x:f>AVERAGE(E49:H49)</x:f>
        <x:v>4.25</x:v>
      </x:c>
      <x:c r="K49" s="24" t="str">
        <x:v>train</x:v>
      </x:c>
      <x:c r="L49" s="24" t="str">
        <x:v>Bird/peacock-like figure inside circle</x:v>
      </x:c>
      <x:c r="M49" s="24" t="str">
        <x:v>animal transformation</x:v>
      </x:c>
      <x:c r="N49" s="24" t="str">
        <x:v>assistant_preliminary_visual_review</x:v>
      </x:c>
      <x:c r="O49" s="24" t="str">
        <x:v>NEEDS_HUMAN_VALIDATION_BEFORE_FINAL_RESEARCH_MODEL</x:v>
      </x:c>
    </x:row>
    <x:row r="50">
      <x:c r="A50" s="24" t="str">
        <x:v>S049</x:v>
      </x:c>
      <x:c r="B50" s="24" t="str">
        <x:v>PC01</x:v>
      </x:c>
      <x:c r="C50" s="24" t="str">
        <x:v>S049_PC01.jpeg</x:v>
      </x:c>
      <x:c r="D50" s="24" t="str">
        <x:v>images/picture_completion/S049_PC01.jpeg</x:v>
      </x:c>
      <x:c r="E50" s="24" t="n">
        <x:v>4</x:v>
      </x:c>
      <x:c r="F50" s="24" t="n">
        <x:v>3</x:v>
      </x:c>
      <x:c r="G50" s="24" t="n">
        <x:v>4</x:v>
      </x:c>
      <x:c r="H50" s="24" t="n">
        <x:v>3</x:v>
      </x:c>
      <x:c r="I50" s="24" t="n">
        <x:f>SUM(E50:H50)</x:f>
        <x:v>14</x:v>
      </x:c>
      <x:c r="J50" s="25" t="n">
        <x:f>AVERAGE(E50:H50)</x:f>
        <x:v>3.5</x:v>
      </x:c>
      <x:c r="K50" s="24" t="str">
        <x:v>train</x:v>
      </x:c>
      <x:c r="L50" s="24" t="str">
        <x:v>Simple landscape with two trees</x:v>
      </x:c>
      <x:c r="M50" s="24" t="str">
        <x:v>landscape scene transformation</x:v>
      </x:c>
      <x:c r="N50" s="24" t="str">
        <x:v>assistant_preliminary_visual_review</x:v>
      </x:c>
      <x:c r="O50" s="24" t="str">
        <x:v>NEEDS_HUMAN_VALIDATION_BEFORE_FINAL_RESEARCH_MODEL</x:v>
      </x:c>
    </x:row>
    <x:row r="51">
      <x:c r="A51" s="24" t="str">
        <x:v>S050</x:v>
      </x:c>
      <x:c r="B51" s="24" t="str">
        <x:v>PC01</x:v>
      </x:c>
      <x:c r="C51" s="24" t="str">
        <x:v>S050_PC01.jpeg</x:v>
      </x:c>
      <x:c r="D51" s="24" t="str">
        <x:v>images/picture_completion/S050_PC01.jpeg</x:v>
      </x:c>
      <x:c r="E51" s="24" t="n">
        <x:v>4</x:v>
      </x:c>
      <x:c r="F51" s="24" t="n">
        <x:v>3</x:v>
      </x:c>
      <x:c r="G51" s="24" t="n">
        <x:v>4</x:v>
      </x:c>
      <x:c r="H51" s="24" t="n">
        <x:v>3</x:v>
      </x:c>
      <x:c r="I51" s="24" t="n">
        <x:f>SUM(E51:H51)</x:f>
        <x:v>14</x:v>
      </x:c>
      <x:c r="J51" s="25" t="n">
        <x:f>AVERAGE(E51:H51)</x:f>
        <x:v>3.5</x:v>
      </x:c>
      <x:c r="K51" s="24" t="str">
        <x:v>train</x:v>
      </x:c>
      <x:c r="L51" s="24" t="str">
        <x:v>Small fruit/plant-like objects inside circle</x:v>
      </x:c>
      <x:c r="M51" s="24" t="str">
        <x:v>small-object/plant composition</x:v>
      </x:c>
      <x:c r="N51" s="24" t="str">
        <x:v>assistant_preliminary_visual_review</x:v>
      </x:c>
      <x:c r="O51" s="24" t="str">
        <x:v>NEEDS_HUMAN_VALIDATION_BEFORE_FINAL_RESEARCH_MODEL</x:v>
      </x:c>
    </x:row>
    <x:row r="52">
      <x:c r="A52" s="24" t="str">
        <x:v>S051</x:v>
      </x:c>
      <x:c r="B52" s="24" t="str">
        <x:v>PC01</x:v>
      </x:c>
      <x:c r="C52" s="24" t="str">
        <x:v>S051_PC01.jpeg</x:v>
      </x:c>
      <x:c r="D52" s="24" t="str">
        <x:v>images/picture_completion/S051_PC01.jpeg</x:v>
      </x:c>
      <x:c r="E52" s="24" t="n">
        <x:v>4</x:v>
      </x:c>
      <x:c r="F52" s="24" t="n">
        <x:v>2</x:v>
      </x:c>
      <x:c r="G52" s="24" t="n">
        <x:v>3</x:v>
      </x:c>
      <x:c r="H52" s="24" t="n">
        <x:v>2</x:v>
      </x:c>
      <x:c r="I52" s="24" t="n">
        <x:f>SUM(E52:H52)</x:f>
        <x:v>11</x:v>
      </x:c>
      <x:c r="J52" s="25" t="n">
        <x:f>AVERAGE(E52:H52)</x:f>
        <x:v>2.75</x:v>
      </x:c>
      <x:c r="K52" s="24" t="str">
        <x:v>train</x:v>
      </x:c>
      <x:c r="L52" s="24" t="str">
        <x:v>Purple circular object with handle/tab</x:v>
      </x:c>
      <x:c r="M52" s="24" t="str">
        <x:v>object transformation</x:v>
      </x:c>
      <x:c r="N52" s="24" t="str">
        <x:v>assistant_preliminary_visual_review</x:v>
      </x:c>
      <x:c r="O52" s="24" t="str">
        <x:v>NEEDS_HUMAN_VALIDATION_BEFORE_FINAL_RESEARCH_MODEL</x:v>
      </x:c>
    </x:row>
    <x:row r="53">
      <x:c r="A53" s="24" t="str">
        <x:v>S052</x:v>
      </x:c>
      <x:c r="B53" s="24" t="str">
        <x:v>PC01</x:v>
      </x:c>
      <x:c r="C53" s="24" t="str">
        <x:v>S052_PC01.jpeg</x:v>
      </x:c>
      <x:c r="D53" s="24" t="str">
        <x:v>images/picture_completion/S052_PC01.jpeg</x:v>
      </x:c>
      <x:c r="E53" s="24" t="n">
        <x:v>4</x:v>
      </x:c>
      <x:c r="F53" s="24" t="n">
        <x:v>3</x:v>
      </x:c>
      <x:c r="G53" s="24" t="n">
        <x:v>4</x:v>
      </x:c>
      <x:c r="H53" s="24" t="n">
        <x:v>3</x:v>
      </x:c>
      <x:c r="I53" s="24" t="n">
        <x:f>SUM(E53:H53)</x:f>
        <x:v>14</x:v>
      </x:c>
      <x:c r="J53" s="25" t="n">
        <x:f>AVERAGE(E53:H53)</x:f>
        <x:v>3.5</x:v>
      </x:c>
      <x:c r="K53" s="24" t="str">
        <x:v>train</x:v>
      </x:c>
      <x:c r="L53" s="24" t="str">
        <x:v>Small blue human/character with sun</x:v>
      </x:c>
      <x:c r="M53" s="24" t="str">
        <x:v>character scene transformation</x:v>
      </x:c>
      <x:c r="N53" s="24" t="str">
        <x:v>assistant_preliminary_visual_review</x:v>
      </x:c>
      <x:c r="O53" s="24" t="str">
        <x:v>NEEDS_HUMAN_VALIDATION_BEFORE_FINAL_RESEARCH_MODEL</x:v>
      </x:c>
    </x:row>
    <x:row r="54">
      <x:c r="A54" s="24" t="str">
        <x:v>S053</x:v>
      </x:c>
      <x:c r="B54" s="24" t="str">
        <x:v>PC01</x:v>
      </x:c>
      <x:c r="C54" s="24" t="str">
        <x:v>S053_PC01.jpeg</x:v>
      </x:c>
      <x:c r="D54" s="24" t="str">
        <x:v>images/picture_completion/S053_PC01.jpeg</x:v>
      </x:c>
      <x:c r="E54" s="24" t="n">
        <x:v>5</x:v>
      </x:c>
      <x:c r="F54" s="24" t="n">
        <x:v>4</x:v>
      </x:c>
      <x:c r="G54" s="24" t="n">
        <x:v>5</x:v>
      </x:c>
      <x:c r="H54" s="24" t="n">
        <x:v>4</x:v>
      </x:c>
      <x:c r="I54" s="24" t="n">
        <x:f>SUM(E54:H54)</x:f>
        <x:v>18</x:v>
      </x:c>
      <x:c r="J54" s="25" t="n">
        <x:f>AVERAGE(E54:H54)</x:f>
        <x:v>4.5</x:v>
      </x:c>
      <x:c r="K54" s="24" t="str">
        <x:v>train</x:v>
      </x:c>
      <x:c r="L54" s="24" t="str">
        <x:v>Green bus/vehicle scene</x:v>
      </x:c>
      <x:c r="M54" s="24" t="str">
        <x:v>vehicle scene transformation</x:v>
      </x:c>
      <x:c r="N54" s="24" t="str">
        <x:v>assistant_preliminary_visual_review</x:v>
      </x:c>
      <x:c r="O54" s="24" t="str">
        <x:v>NEEDS_HUMAN_VALIDATION_BEFORE_FINAL_RESEARCH_MODEL</x:v>
      </x:c>
    </x:row>
    <x:row r="55">
      <x:c r="A55" s="24" t="str">
        <x:v>S054</x:v>
      </x:c>
      <x:c r="B55" s="24" t="str">
        <x:v>PC01</x:v>
      </x:c>
      <x:c r="C55" s="24" t="str">
        <x:v>S054_PC01.jpeg</x:v>
      </x:c>
      <x:c r="D55" s="24" t="str">
        <x:v>images/picture_completion/S054_PC01.jpeg</x:v>
      </x:c>
      <x:c r="E55" s="24" t="n">
        <x:v>5</x:v>
      </x:c>
      <x:c r="F55" s="24" t="n">
        <x:v>4</x:v>
      </x:c>
      <x:c r="G55" s="24" t="n">
        <x:v>5</x:v>
      </x:c>
      <x:c r="H55" s="24" t="n">
        <x:v>4</x:v>
      </x:c>
      <x:c r="I55" s="24" t="n">
        <x:f>SUM(E55:H55)</x:f>
        <x:v>18</x:v>
      </x:c>
      <x:c r="J55" s="25" t="n">
        <x:f>AVERAGE(E55:H55)</x:f>
        <x:v>4.5</x:v>
      </x:c>
      <x:c r="K55" s="24" t="str">
        <x:v>validation</x:v>
      </x:c>
      <x:c r="L55" s="24" t="str">
        <x:v>Family/people and buildings or rockets scene</x:v>
      </x:c>
      <x:c r="M55" s="24" t="str">
        <x:v>multi-object scene transformation</x:v>
      </x:c>
      <x:c r="N55" s="24" t="str">
        <x:v>assistant_preliminary_visual_review</x:v>
      </x:c>
      <x:c r="O55" s="24" t="str">
        <x:v>NEEDS_HUMAN_VALIDATION_BEFORE_FINAL_RESEARCH_MODEL</x:v>
      </x:c>
    </x:row>
    <x:row r="56">
      <x:c r="A56" s="24" t="str">
        <x:v>S055</x:v>
      </x:c>
      <x:c r="B56" s="24" t="str">
        <x:v>PC01</x:v>
      </x:c>
      <x:c r="C56" s="24" t="str">
        <x:v>S055_PC01.jpeg</x:v>
      </x:c>
      <x:c r="D56" s="24" t="str">
        <x:v>images/picture_completion/S055_PC01.jpeg</x:v>
      </x:c>
      <x:c r="E56" s="24" t="n">
        <x:v>4</x:v>
      </x:c>
      <x:c r="F56" s="24" t="n">
        <x:v>4</x:v>
      </x:c>
      <x:c r="G56" s="24" t="n">
        <x:v>4</x:v>
      </x:c>
      <x:c r="H56" s="24" t="n">
        <x:v>3</x:v>
      </x:c>
      <x:c r="I56" s="24" t="n">
        <x:f>SUM(E56:H56)</x:f>
        <x:v>15</x:v>
      </x:c>
      <x:c r="J56" s="25" t="n">
        <x:f>AVERAGE(E56:H56)</x:f>
        <x:v>3.75</x:v>
      </x:c>
      <x:c r="K56" s="24" t="str">
        <x:v>test</x:v>
      </x:c>
      <x:c r="L56" s="24" t="str">
        <x:v>Vehicle with surrounding objects/scene</x:v>
      </x:c>
      <x:c r="M56" s="24" t="str">
        <x:v>vehicle scene transformation</x:v>
      </x:c>
      <x:c r="N56" s="24" t="str">
        <x:v>assistant_preliminary_visual_review</x:v>
      </x:c>
      <x:c r="O56" s="24" t="str">
        <x:v>NEEDS_HUMAN_VALIDATION_BEFORE_FINAL_RESEARCH_MODEL</x:v>
      </x:c>
    </x:row>
    <x:row r="57">
      <x:c r="A57" s="24" t="str">
        <x:v>S056</x:v>
      </x:c>
      <x:c r="B57" s="24" t="str">
        <x:v>PC01</x:v>
      </x:c>
      <x:c r="C57" s="24" t="str">
        <x:v>S056_PC01.jpeg</x:v>
      </x:c>
      <x:c r="D57" s="24" t="str">
        <x:v>images/picture_completion/S056_PC01.jpeg</x:v>
      </x:c>
      <x:c r="E57" s="24" t="n">
        <x:v>3</x:v>
      </x:c>
      <x:c r="F57" s="24" t="n">
        <x:v>5</x:v>
      </x:c>
      <x:c r="G57" s="24" t="n">
        <x:v>4</x:v>
      </x:c>
      <x:c r="H57" s="24" t="n">
        <x:v>3</x:v>
      </x:c>
      <x:c r="I57" s="24" t="n">
        <x:f>SUM(E57:H57)</x:f>
        <x:v>15</x:v>
      </x:c>
      <x:c r="J57" s="25" t="n">
        <x:f>AVERAGE(E57:H57)</x:f>
        <x:v>3.75</x:v>
      </x:c>
      <x:c r="K57" s="24" t="str">
        <x:v>train</x:v>
      </x:c>
      <x:c r="L57" s="24" t="str">
        <x:v>Orange sun/face in full colored background</x:v>
      </x:c>
      <x:c r="M57" s="24" t="str">
        <x:v>sun-face scene transformation</x:v>
      </x:c>
      <x:c r="N57" s="24" t="str">
        <x:v>assistant_preliminary_visual_review</x:v>
      </x:c>
      <x:c r="O57" s="24" t="str">
        <x:v>NEEDS_HUMAN_VALIDATION_BEFORE_FINAL_RESEARCH_MODEL</x:v>
      </x:c>
    </x:row>
    <x:row r="58">
      <x:c r="A58" s="24" t="str">
        <x:v>S057</x:v>
      </x:c>
      <x:c r="B58" s="24" t="str">
        <x:v>PC01</x:v>
      </x:c>
      <x:c r="C58" s="24" t="str">
        <x:v>S057_PC01.jpeg</x:v>
      </x:c>
      <x:c r="D58" s="24" t="str">
        <x:v>images/picture_completion/S057_PC01.jpeg</x:v>
      </x:c>
      <x:c r="E58" s="24" t="n">
        <x:v>5</x:v>
      </x:c>
      <x:c r="F58" s="24" t="n">
        <x:v>5</x:v>
      </x:c>
      <x:c r="G58" s="24" t="n">
        <x:v>5</x:v>
      </x:c>
      <x:c r="H58" s="24" t="n">
        <x:v>4</x:v>
      </x:c>
      <x:c r="I58" s="24" t="n">
        <x:f>SUM(E58:H58)</x:f>
        <x:v>19</x:v>
      </x:c>
      <x:c r="J58" s="25" t="n">
        <x:f>AVERAGE(E58:H58)</x:f>
        <x:v>4.75</x:v>
      </x:c>
      <x:c r="K58" s="24" t="str">
        <x:v>train</x:v>
      </x:c>
      <x:c r="L58" s="24" t="str">
        <x:v>Large insect/animal character</x:v>
      </x:c>
      <x:c r="M58" s="24" t="str">
        <x:v>animal/character transformation</x:v>
      </x:c>
      <x:c r="N58" s="24" t="str">
        <x:v>assistant_preliminary_visual_review</x:v>
      </x:c>
      <x:c r="O58" s="24" t="str">
        <x:v>NEEDS_HUMAN_VALIDATION_BEFORE_FINAL_RESEARCH_MODEL</x:v>
      </x:c>
    </x:row>
    <x:row r="59">
      <x:c r="A59" s="24" t="str">
        <x:v>S058</x:v>
      </x:c>
      <x:c r="B59" s="24" t="str">
        <x:v>PC01</x:v>
      </x:c>
      <x:c r="C59" s="24" t="str">
        <x:v>S058_PC01.jpeg</x:v>
      </x:c>
      <x:c r="D59" s="24" t="str">
        <x:v>images/picture_completion/S058_PC01.jpeg</x:v>
      </x:c>
      <x:c r="E59" s="24" t="n">
        <x:v>4</x:v>
      </x:c>
      <x:c r="F59" s="24" t="n">
        <x:v>4</x:v>
      </x:c>
      <x:c r="G59" s="24" t="n">
        <x:v>4</x:v>
      </x:c>
      <x:c r="H59" s="24" t="n">
        <x:v>4</x:v>
      </x:c>
      <x:c r="I59" s="24" t="n">
        <x:f>SUM(E59:H59)</x:f>
        <x:v>16</x:v>
      </x:c>
      <x:c r="J59" s="25" t="n">
        <x:f>AVERAGE(E59:H59)</x:f>
        <x:v>4</x:v>
      </x:c>
      <x:c r="K59" s="24" t="str">
        <x:v>validation</x:v>
      </x:c>
      <x:c r="L59" s="24" t="str">
        <x:v>Yellow character with body and orange thought/speech shape</x:v>
      </x:c>
      <x:c r="M59" s="24" t="str">
        <x:v>character plus symbolic/scene transformation</x:v>
      </x:c>
      <x:c r="N59" s="24" t="str">
        <x:v>assistant_preliminary_visual_review</x:v>
      </x:c>
      <x:c r="O59" s="24" t="str">
        <x:v>NEEDS_HUMAN_VALIDATION_BEFORE_FINAL_RESEARCH_MODEL</x:v>
      </x:c>
    </x:row>
    <x:row r="60">
      <x:c r="A60" s="24" t="str">
        <x:v>S059</x:v>
      </x:c>
      <x:c r="B60" s="24" t="str">
        <x:v>PC01</x:v>
      </x:c>
      <x:c r="C60" s="24" t="str">
        <x:v>S059_PC01.jpeg</x:v>
      </x:c>
      <x:c r="D60" s="24" t="str">
        <x:v>images/picture_completion/S059_PC01.jpeg</x:v>
      </x:c>
      <x:c r="E60" s="24" t="n">
        <x:v>5</x:v>
      </x:c>
      <x:c r="F60" s="24" t="n">
        <x:v>5</x:v>
      </x:c>
      <x:c r="G60" s="24" t="n">
        <x:v>5</x:v>
      </x:c>
      <x:c r="H60" s="24" t="n">
        <x:v>4</x:v>
      </x:c>
      <x:c r="I60" s="24" t="n">
        <x:f>SUM(E60:H60)</x:f>
        <x:v>19</x:v>
      </x:c>
      <x:c r="J60" s="25" t="n">
        <x:f>AVERAGE(E60:H60)</x:f>
        <x:v>4.75</x:v>
      </x:c>
      <x:c r="K60" s="24" t="str">
        <x:v>train</x:v>
      </x:c>
      <x:c r="L60" s="24" t="str">
        <x:v>Decorative flower with smiling face</x:v>
      </x:c>
      <x:c r="M60" s="24" t="str">
        <x:v>flower-character transformation</x:v>
      </x:c>
      <x:c r="N60" s="24" t="str">
        <x:v>assistant_preliminary_visual_review</x:v>
      </x:c>
      <x:c r="O60" s="24" t="str">
        <x:v>NEEDS_HUMAN_VALIDATION_BEFORE_FINAL_RESEARCH_MODEL</x:v>
      </x:c>
    </x:row>
    <x:row r="61">
      <x:c r="A61" s="24" t="str">
        <x:v>S060</x:v>
      </x:c>
      <x:c r="B61" s="24" t="str">
        <x:v>PC01</x:v>
      </x:c>
      <x:c r="C61" s="24" t="str">
        <x:v>S060_PC01.jpeg</x:v>
      </x:c>
      <x:c r="D61" s="24" t="str">
        <x:v>images/picture_completion/S060_PC01.jpeg</x:v>
      </x:c>
      <x:c r="E61" s="24" t="n">
        <x:v>5</x:v>
      </x:c>
      <x:c r="F61" s="24" t="n">
        <x:v>5</x:v>
      </x:c>
      <x:c r="G61" s="24" t="n">
        <x:v>5</x:v>
      </x:c>
      <x:c r="H61" s="24" t="n">
        <x:v>5</x:v>
      </x:c>
      <x:c r="I61" s="24" t="n">
        <x:f>SUM(E61:H61)</x:f>
        <x:v>20</x:v>
      </x:c>
      <x:c r="J61" s="25" t="n">
        <x:f>AVERAGE(E61:H61)</x:f>
        <x:v>5</x:v>
      </x:c>
      <x:c r="K61" s="24" t="str">
        <x:v>train</x:v>
      </x:c>
      <x:c r="L61" s="24" t="str">
        <x:v>Flower with tree/holiday-like scene inside center</x:v>
      </x:c>
      <x:c r="M61" s="24" t="str">
        <x:v>flower plus internal scene transformation</x:v>
      </x:c>
      <x:c r="N61" s="24" t="str">
        <x:v>assistant_preliminary_visual_review</x:v>
      </x:c>
      <x:c r="O61" s="24" t="str">
        <x:v>NEEDS_HUMAN_VALIDATION_BEFORE_FINAL_RESEARCH_MODEL</x:v>
      </x:c>
    </x:row>
    <x:row r="62">
      <x:c r="A62" s="24" t="str">
        <x:v>S061</x:v>
      </x:c>
      <x:c r="B62" s="24" t="str">
        <x:v>PC01</x:v>
      </x:c>
      <x:c r="C62" s="24" t="str">
        <x:v>S061_PC01.jpeg</x:v>
      </x:c>
      <x:c r="D62" s="24" t="str">
        <x:v>images/picture_completion/S061_PC01.jpeg</x:v>
      </x:c>
      <x:c r="E62" s="24" t="n">
        <x:v>5</x:v>
      </x:c>
      <x:c r="F62" s="24" t="n">
        <x:v>5</x:v>
      </x:c>
      <x:c r="G62" s="24" t="n">
        <x:v>5</x:v>
      </x:c>
      <x:c r="H62" s="24" t="n">
        <x:v>5</x:v>
      </x:c>
      <x:c r="I62" s="24" t="n">
        <x:f>SUM(E62:H62)</x:f>
        <x:v>20</x:v>
      </x:c>
      <x:c r="J62" s="25" t="n">
        <x:f>AVERAGE(E62:H62)</x:f>
        <x:v>5</x:v>
      </x:c>
      <x:c r="K62" s="24" t="str">
        <x:v>train</x:v>
      </x:c>
      <x:c r="L62" s="24" t="str">
        <x:v>Flower character in outdoor scene</x:v>
      </x:c>
      <x:c r="M62" s="24" t="str">
        <x:v>flower-character scene transformation</x:v>
      </x:c>
      <x:c r="N62" s="24" t="str">
        <x:v>assistant_preliminary_visual_review</x:v>
      </x:c>
      <x:c r="O62" s="24" t="str">
        <x:v>NEEDS_HUMAN_VALIDATION_BEFORE_FINAL_RESEARCH_MODEL</x:v>
      </x:c>
    </x:row>
    <x:row r="63">
      <x:c r="A63" s="24" t="str">
        <x:v>S062</x:v>
      </x:c>
      <x:c r="B63" s="24" t="str">
        <x:v>PC01</x:v>
      </x:c>
      <x:c r="C63" s="24" t="str">
        <x:v>S062_PC01.jpeg</x:v>
      </x:c>
      <x:c r="D63" s="24" t="str">
        <x:v>images/picture_completion/S062_PC01.jpeg</x:v>
      </x:c>
      <x:c r="E63" s="24" t="n">
        <x:v>3</x:v>
      </x:c>
      <x:c r="F63" s="24" t="n">
        <x:v>4</x:v>
      </x:c>
      <x:c r="G63" s="24" t="n">
        <x:v>3</x:v>
      </x:c>
      <x:c r="H63" s="24" t="n">
        <x:v>3</x:v>
      </x:c>
      <x:c r="I63" s="24" t="n">
        <x:f>SUM(E63:H63)</x:f>
        <x:v>13</x:v>
      </x:c>
      <x:c r="J63" s="25" t="n">
        <x:f>AVERAGE(E63:H63)</x:f>
        <x:v>3.25</x:v>
      </x:c>
      <x:c r="K63" s="24" t="str">
        <x:v>train</x:v>
      </x:c>
      <x:c r="L63" s="24" t="str">
        <x:v>Purple flower</x:v>
      </x:c>
      <x:c r="M63" s="24" t="str">
        <x:v>flower transformation</x:v>
      </x:c>
      <x:c r="N63" s="24" t="str">
        <x:v>assistant_preliminary_visual_review</x:v>
      </x:c>
      <x:c r="O63" s="24" t="str">
        <x:v>NEEDS_HUMAN_VALIDATION_BEFORE_FINAL_RESEARCH_MODEL</x:v>
      </x:c>
    </x:row>
    <x:row r="64">
      <x:c r="A64" s="24" t="str">
        <x:v>S063</x:v>
      </x:c>
      <x:c r="B64" s="24" t="str">
        <x:v>PC01</x:v>
      </x:c>
      <x:c r="C64" s="24" t="str">
        <x:v>S063_PC01.jpeg</x:v>
      </x:c>
      <x:c r="D64" s="24" t="str">
        <x:v>images/picture_completion/S063_PC01.jpeg</x:v>
      </x:c>
      <x:c r="E64" s="24" t="n">
        <x:v>4</x:v>
      </x:c>
      <x:c r="F64" s="24" t="n">
        <x:v>5</x:v>
      </x:c>
      <x:c r="G64" s="24" t="n">
        <x:v>4</x:v>
      </x:c>
      <x:c r="H64" s="24" t="n">
        <x:v>3</x:v>
      </x:c>
      <x:c r="I64" s="24" t="n">
        <x:f>SUM(E64:H64)</x:f>
        <x:v>16</x:v>
      </x:c>
      <x:c r="J64" s="25" t="n">
        <x:f>AVERAGE(E64:H64)</x:f>
        <x:v>4</x:v>
      </x:c>
      <x:c r="K64" s="24" t="str">
        <x:v>train</x:v>
      </x:c>
      <x:c r="L64" s="24" t="str">
        <x:v>Full human character</x:v>
      </x:c>
      <x:c r="M64" s="24" t="str">
        <x:v>human-character transformation</x:v>
      </x:c>
      <x:c r="N64" s="24" t="str">
        <x:v>assistant_preliminary_visual_review</x:v>
      </x:c>
      <x:c r="O64" s="24" t="str">
        <x:v>NEEDS_HUMAN_VALIDATION_BEFORE_FINAL_RESEARCH_MODEL</x:v>
      </x:c>
    </x:row>
    <x:row r="65">
      <x:c r="A65" s="24" t="str">
        <x:v>S064</x:v>
      </x:c>
      <x:c r="B65" s="24" t="str">
        <x:v>PC01</x:v>
      </x:c>
      <x:c r="C65" s="24" t="str">
        <x:v>S064_PC01.jpeg</x:v>
      </x:c>
      <x:c r="D65" s="24" t="str">
        <x:v>images/picture_completion/S064_PC01.jpeg</x:v>
      </x:c>
      <x:c r="E65" s="24" t="n">
        <x:v>4</x:v>
      </x:c>
      <x:c r="F65" s="24" t="n">
        <x:v>4</x:v>
      </x:c>
      <x:c r="G65" s="24" t="n">
        <x:v>4</x:v>
      </x:c>
      <x:c r="H65" s="24" t="n">
        <x:v>4</x:v>
      </x:c>
      <x:c r="I65" s="24" t="n">
        <x:f>SUM(E65:H65)</x:f>
        <x:v>16</x:v>
      </x:c>
      <x:c r="J65" s="25" t="n">
        <x:f>AVERAGE(E65:H65)</x:f>
        <x:v>4</x:v>
      </x:c>
      <x:c r="K65" s="24" t="str">
        <x:v>train</x:v>
      </x:c>
      <x:c r="L65" s="24" t="str">
        <x:v>Sun/character with additional small figure and symbols</x:v>
      </x:c>
      <x:c r="M65" s="24" t="str">
        <x:v>sun-character scene transformation</x:v>
      </x:c>
      <x:c r="N65" s="24" t="str">
        <x:v>assistant_preliminary_visual_review</x:v>
      </x:c>
      <x:c r="O65" s="24" t="str">
        <x:v>NEEDS_HUMAN_VALIDATION_BEFORE_FINAL_RESEARCH_MODEL</x:v>
      </x:c>
    </x:row>
    <x:row r="66">
      <x:c r="A66" s="24" t="str">
        <x:v>S065</x:v>
      </x:c>
      <x:c r="B66" s="24" t="str">
        <x:v>PC01</x:v>
      </x:c>
      <x:c r="C66" s="24" t="str">
        <x:v>S065_PC01.jpeg</x:v>
      </x:c>
      <x:c r="D66" s="24" t="str">
        <x:v>images/picture_completion/S065_PC01.jpeg</x:v>
      </x:c>
      <x:c r="E66" s="24" t="n">
        <x:v>3</x:v>
      </x:c>
      <x:c r="F66" s="24" t="n">
        <x:v>4</x:v>
      </x:c>
      <x:c r="G66" s="24" t="n">
        <x:v>3</x:v>
      </x:c>
      <x:c r="H66" s="24" t="n">
        <x:v>3</x:v>
      </x:c>
      <x:c r="I66" s="24" t="n">
        <x:f>SUM(E66:H66)</x:f>
        <x:v>13</x:v>
      </x:c>
      <x:c r="J66" s="25" t="n">
        <x:f>AVERAGE(E66:H66)</x:f>
        <x:v>3.25</x:v>
      </x:c>
      <x:c r="K66" s="24" t="str">
        <x:v>validation</x:v>
      </x:c>
      <x:c r="L66" s="24" t="str">
        <x:v>Orange-petal flower with purple patterned center</x:v>
      </x:c>
      <x:c r="M66" s="24" t="str">
        <x:v>flower transformation</x:v>
      </x:c>
      <x:c r="N66" s="24" t="str">
        <x:v>assistant_preliminary_visual_review</x:v>
      </x:c>
      <x:c r="O66" s="24" t="str">
        <x:v>NEEDS_HUMAN_VALIDATION_BEFORE_FINAL_RESEARCH_MODEL</x:v>
      </x:c>
    </x:row>
    <x:row r="67">
      <x:c r="A67" s="24" t="str">
        <x:v>S066</x:v>
      </x:c>
      <x:c r="B67" s="24" t="str">
        <x:v>PC01</x:v>
      </x:c>
      <x:c r="C67" s="24" t="str">
        <x:v>S066_PC01.jpeg</x:v>
      </x:c>
      <x:c r="D67" s="24" t="str">
        <x:v>images/picture_completion/S066_PC01.jpeg</x:v>
      </x:c>
      <x:c r="E67" s="24" t="n">
        <x:v>4</x:v>
      </x:c>
      <x:c r="F67" s="24" t="n">
        <x:v>5</x:v>
      </x:c>
      <x:c r="G67" s="24" t="n">
        <x:v>4</x:v>
      </x:c>
      <x:c r="H67" s="24" t="n">
        <x:v>3</x:v>
      </x:c>
      <x:c r="I67" s="24" t="n">
        <x:f>SUM(E67:H67)</x:f>
        <x:v>16</x:v>
      </x:c>
      <x:c r="J67" s="25" t="n">
        <x:f>AVERAGE(E67:H67)</x:f>
        <x:v>4</x:v>
      </x:c>
      <x:c r="K67" s="24" t="str">
        <x:v>train</x:v>
      </x:c>
      <x:c r="L67" s="24" t="str">
        <x:v>Multicolored flower</x:v>
      </x:c>
      <x:c r="M67" s="24" t="str">
        <x:v>flower transformation</x:v>
      </x:c>
      <x:c r="N67" s="24" t="str">
        <x:v>assistant_preliminary_visual_review</x:v>
      </x:c>
      <x:c r="O67" s="24" t="str">
        <x:v>NEEDS_HUMAN_VALIDATION_BEFORE_FINAL_RESEARCH_MODEL</x:v>
      </x:c>
    </x:row>
    <x:row r="68">
      <x:c r="A68" s="24" t="str">
        <x:v>S067</x:v>
      </x:c>
      <x:c r="B68" s="24" t="str">
        <x:v>PC01</x:v>
      </x:c>
      <x:c r="C68" s="24" t="str">
        <x:v>S067_PC01.jpeg</x:v>
      </x:c>
      <x:c r="D68" s="24" t="str">
        <x:v>images/picture_completion/S067_PC01.jpeg</x:v>
      </x:c>
      <x:c r="E68" s="24" t="n">
        <x:v>5</x:v>
      </x:c>
      <x:c r="F68" s="24" t="n">
        <x:v>5</x:v>
      </x:c>
      <x:c r="G68" s="24" t="n">
        <x:v>5</x:v>
      </x:c>
      <x:c r="H68" s="24" t="n">
        <x:v>4</x:v>
      </x:c>
      <x:c r="I68" s="24" t="n">
        <x:f>SUM(E68:H68)</x:f>
        <x:v>19</x:v>
      </x:c>
      <x:c r="J68" s="25" t="n">
        <x:f>AVERAGE(E68:H68)</x:f>
        <x:v>4.75</x:v>
      </x:c>
      <x:c r="K68" s="24" t="str">
        <x:v>train</x:v>
      </x:c>
      <x:c r="L68" s="24" t="str">
        <x:v>Rabbit/animal character with carrot</x:v>
      </x:c>
      <x:c r="M68" s="24" t="str">
        <x:v>animal-character transformation</x:v>
      </x:c>
      <x:c r="N68" s="24" t="str">
        <x:v>assistant_preliminary_visual_review</x:v>
      </x:c>
      <x:c r="O68" s="24" t="str">
        <x:v>NEEDS_HUMAN_VALIDATION_BEFORE_FINAL_RESEARCH_MODEL</x:v>
      </x:c>
    </x:row>
    <x:row r="69">
      <x:c r="A69" s="24" t="str">
        <x:v>S068</x:v>
      </x:c>
      <x:c r="B69" s="24" t="str">
        <x:v>PC01</x:v>
      </x:c>
      <x:c r="C69" s="24" t="str">
        <x:v>S068_PC01.jpeg</x:v>
      </x:c>
      <x:c r="D69" s="24" t="str">
        <x:v>images/picture_completion/S068_PC01.jpeg</x:v>
      </x:c>
      <x:c r="E69" s="24" t="n">
        <x:v>5</x:v>
      </x:c>
      <x:c r="F69" s="24" t="n">
        <x:v>5</x:v>
      </x:c>
      <x:c r="G69" s="24" t="n">
        <x:v>5</x:v>
      </x:c>
      <x:c r="H69" s="24" t="n">
        <x:v>4</x:v>
      </x:c>
      <x:c r="I69" s="24" t="n">
        <x:f>SUM(E69:H69)</x:f>
        <x:v>19</x:v>
      </x:c>
      <x:c r="J69" s="25" t="n">
        <x:f>AVERAGE(E69:H69)</x:f>
        <x:v>4.75</x:v>
      </x:c>
      <x:c r="K69" s="24" t="str">
        <x:v>train</x:v>
      </x:c>
      <x:c r="L69" s="24" t="str">
        <x:v>Rabbit/animal character in simple scene</x:v>
      </x:c>
      <x:c r="M69" s="24" t="str">
        <x:v>animal-character scene transformation</x:v>
      </x:c>
      <x:c r="N69" s="24" t="str">
        <x:v>assistant_preliminary_visual_review</x:v>
      </x:c>
      <x:c r="O69" s="24" t="str">
        <x:v>NEEDS_HUMAN_VALIDATION_BEFORE_FINAL_RESEARCH_MODEL</x:v>
      </x:c>
    </x:row>
    <x:row r="70">
      <x:c r="A70" s="24" t="str">
        <x:v>S069</x:v>
      </x:c>
      <x:c r="B70" s="24" t="str">
        <x:v>PC01</x:v>
      </x:c>
      <x:c r="C70" s="24" t="str">
        <x:v>S069_PC01.jpeg</x:v>
      </x:c>
      <x:c r="D70" s="24" t="str">
        <x:v>images/picture_completion/S069_PC01.jpeg</x:v>
      </x:c>
      <x:c r="E70" s="24" t="n">
        <x:v>4</x:v>
      </x:c>
      <x:c r="F70" s="24" t="n">
        <x:v>4</x:v>
      </x:c>
      <x:c r="G70" s="24" t="n">
        <x:v>4</x:v>
      </x:c>
      <x:c r="H70" s="24" t="n">
        <x:v>3</x:v>
      </x:c>
      <x:c r="I70" s="24" t="n">
        <x:f>SUM(E70:H70)</x:f>
        <x:v>15</x:v>
      </x:c>
      <x:c r="J70" s="25" t="n">
        <x:f>AVERAGE(E70:H70)</x:f>
        <x:v>3.75</x:v>
      </x:c>
      <x:c r="K70" s="24" t="str">
        <x:v>train</x:v>
      </x:c>
      <x:c r="L70" s="24" t="str">
        <x:v>Red flower with abstract center</x:v>
      </x:c>
      <x:c r="M70" s="24" t="str">
        <x:v>flower transformation with abstract center</x:v>
      </x:c>
      <x:c r="N70" s="24" t="str">
        <x:v>assistant_preliminary_visual_review</x:v>
      </x:c>
      <x:c r="O70" s="24" t="str">
        <x:v>NEEDS_HUMAN_VALIDATION_BEFORE_FINAL_RESEARCH_MODEL</x:v>
      </x:c>
    </x:row>
    <x:row r="71">
      <x:c r="A71" s="24" t="str">
        <x:v>S070</x:v>
      </x:c>
      <x:c r="B71" s="24" t="str">
        <x:v>PC01</x:v>
      </x:c>
      <x:c r="C71" s="24" t="str">
        <x:v>S070_PC01.jpeg</x:v>
      </x:c>
      <x:c r="D71" s="24" t="str">
        <x:v>images/picture_completion/S070_PC01.jpeg</x:v>
      </x:c>
      <x:c r="E71" s="24" t="n">
        <x:v>4</x:v>
      </x:c>
      <x:c r="F71" s="24" t="n">
        <x:v>5</x:v>
      </x:c>
      <x:c r="G71" s="24" t="n">
        <x:v>4</x:v>
      </x:c>
      <x:c r="H71" s="24" t="n">
        <x:v>3</x:v>
      </x:c>
      <x:c r="I71" s="24" t="n">
        <x:f>SUM(E71:H71)</x:f>
        <x:v>16</x:v>
      </x:c>
      <x:c r="J71" s="25" t="n">
        <x:f>AVERAGE(E71:H71)</x:f>
        <x:v>4</x:v>
      </x:c>
      <x:c r="K71" s="24" t="str">
        <x:v>test</x:v>
      </x:c>
      <x:c r="L71" s="24" t="str">
        <x:v>Full human character</x:v>
      </x:c>
      <x:c r="M71" s="24" t="str">
        <x:v>human-character transformation</x:v>
      </x:c>
      <x:c r="N71" s="24" t="str">
        <x:v>assistant_preliminary_visual_review</x:v>
      </x:c>
      <x:c r="O71" s="24" t="str">
        <x:v>NEEDS_HUMAN_VALIDATION_BEFORE_FINAL_RESEARCH_MODEL</x:v>
      </x:c>
    </x:row>
    <x:row r="72">
      <x:c r="A72" s="24" t="str">
        <x:v>S071</x:v>
      </x:c>
      <x:c r="B72" s="24" t="str">
        <x:v>PC01</x:v>
      </x:c>
      <x:c r="C72" s="24" t="str">
        <x:v>S071_PC01.jpeg</x:v>
      </x:c>
      <x:c r="D72" s="24" t="str">
        <x:v>images/picture_completion/S071_PC01.jpeg</x:v>
      </x:c>
      <x:c r="E72" s="24" t="n">
        <x:v>5</x:v>
      </x:c>
      <x:c r="F72" s="24" t="n">
        <x:v>5</x:v>
      </x:c>
      <x:c r="G72" s="24" t="n">
        <x:v>5</x:v>
      </x:c>
      <x:c r="H72" s="24" t="n">
        <x:v>4</x:v>
      </x:c>
      <x:c r="I72" s="24" t="n">
        <x:f>SUM(E72:H72)</x:f>
        <x:v>19</x:v>
      </x:c>
      <x:c r="J72" s="25" t="n">
        <x:f>AVERAGE(E72:H72)</x:f>
        <x:v>4.75</x:v>
      </x:c>
      <x:c r="K72" s="24" t="str">
        <x:v>train</x:v>
      </x:c>
      <x:c r="L72" s="24" t="str">
        <x:v>Bird/animal with decorative circular head</x:v>
      </x:c>
      <x:c r="M72" s="24" t="str">
        <x:v>animal-character transformation</x:v>
      </x:c>
      <x:c r="N72" s="24" t="str">
        <x:v>assistant_preliminary_visual_review</x:v>
      </x:c>
      <x:c r="O72" s="24" t="str">
        <x:v>NEEDS_HUMAN_VALIDATION_BEFORE_FINAL_RESEARCH_MODEL</x:v>
      </x:c>
    </x:row>
    <x:row r="73">
      <x:c r="A73" s="24" t="str">
        <x:v>S072</x:v>
      </x:c>
      <x:c r="B73" s="24" t="str">
        <x:v>PC01</x:v>
      </x:c>
      <x:c r="C73" s="24" t="str">
        <x:v>S072_PC01.jpeg</x:v>
      </x:c>
      <x:c r="D73" s="24" t="str">
        <x:v>images/picture_completion/S072_PC01.jpeg</x:v>
      </x:c>
      <x:c r="E73" s="24" t="n">
        <x:v>3</x:v>
      </x:c>
      <x:c r="F73" s="24" t="n">
        <x:v>4</x:v>
      </x:c>
      <x:c r="G73" s="24" t="n">
        <x:v>3</x:v>
      </x:c>
      <x:c r="H73" s="24" t="n">
        <x:v>3</x:v>
      </x:c>
      <x:c r="I73" s="24" t="n">
        <x:f>SUM(E73:H73)</x:f>
        <x:v>13</x:v>
      </x:c>
      <x:c r="J73" s="25" t="n">
        <x:f>AVERAGE(E73:H73)</x:f>
        <x:v>3.25</x:v>
      </x:c>
      <x:c r="K73" s="24" t="str">
        <x:v>validation</x:v>
      </x:c>
      <x:c r="L73" s="24" t="str">
        <x:v>Flower-face character</x:v>
      </x:c>
      <x:c r="M73" s="24" t="str">
        <x:v>flower-character transformation</x:v>
      </x:c>
      <x:c r="N73" s="24" t="str">
        <x:v>assistant_preliminary_visual_review</x:v>
      </x:c>
      <x:c r="O73" s="24" t="str">
        <x:v>NEEDS_HUMAN_VALIDATION_BEFORE_FINAL_RESEARCH_MODEL</x:v>
      </x:c>
    </x:row>
    <x:row r="74">
      <x:c r="A74" s="24" t="str">
        <x:v>S073</x:v>
      </x:c>
      <x:c r="B74" s="24" t="str">
        <x:v>PC01</x:v>
      </x:c>
      <x:c r="C74" s="24" t="str">
        <x:v>S073_PC01.jpeg</x:v>
      </x:c>
      <x:c r="D74" s="24" t="str">
        <x:v>images/picture_completion/S073_PC01.jpeg</x:v>
      </x:c>
      <x:c r="E74" s="24" t="n">
        <x:v>5</x:v>
      </x:c>
      <x:c r="F74" s="24" t="n">
        <x:v>5</x:v>
      </x:c>
      <x:c r="G74" s="24" t="n">
        <x:v>5</x:v>
      </x:c>
      <x:c r="H74" s="24" t="n">
        <x:v>4</x:v>
      </x:c>
      <x:c r="I74" s="24" t="n">
        <x:f>SUM(E74:H74)</x:f>
        <x:v>19</x:v>
      </x:c>
      <x:c r="J74" s="25" t="n">
        <x:f>AVERAGE(E74:H74)</x:f>
        <x:v>4.75</x:v>
      </x:c>
      <x:c r="K74" s="24" t="str">
        <x:v>train</x:v>
      </x:c>
      <x:c r="L74" s="24" t="str">
        <x:v>Rabbit/animal character holding carrot</x:v>
      </x:c>
      <x:c r="M74" s="24" t="str">
        <x:v>animal-character transformation</x:v>
      </x:c>
      <x:c r="N74" s="24" t="str">
        <x:v>assistant_preliminary_visual_review</x:v>
      </x:c>
      <x:c r="O74" s="24" t="str">
        <x:v>NEEDS_HUMAN_VALIDATION_BEFORE_FINAL_RESEARCH_MODEL</x:v>
      </x:c>
    </x:row>
    <x:row r="75">
      <x:c r="A75" s="24" t="str">
        <x:v>S074</x:v>
      </x:c>
      <x:c r="B75" s="24" t="str">
        <x:v>PC01</x:v>
      </x:c>
      <x:c r="C75" s="24" t="str">
        <x:v>S074_PC01.jpeg</x:v>
      </x:c>
      <x:c r="D75" s="24" t="str">
        <x:v>images/picture_completion/S074_PC01.jpeg</x:v>
      </x:c>
      <x:c r="E75" s="24" t="n">
        <x:v>3</x:v>
      </x:c>
      <x:c r="F75" s="24" t="n">
        <x:v>4</x:v>
      </x:c>
      <x:c r="G75" s="24" t="n">
        <x:v>4</x:v>
      </x:c>
      <x:c r="H75" s="24" t="n">
        <x:v>3</x:v>
      </x:c>
      <x:c r="I75" s="24" t="n">
        <x:f>SUM(E75:H75)</x:f>
        <x:v>14</x:v>
      </x:c>
      <x:c r="J75" s="25" t="n">
        <x:f>AVERAGE(E75:H75)</x:f>
        <x:v>3.5</x:v>
      </x:c>
      <x:c r="K75" s="24" t="str">
        <x:v>train</x:v>
      </x:c>
      <x:c r="L75" s="24" t="str">
        <x:v>Flower-face character</x:v>
      </x:c>
      <x:c r="M75" s="24" t="str">
        <x:v>flower-character transformation</x:v>
      </x:c>
      <x:c r="N75" s="24" t="str">
        <x:v>assistant_preliminary_visual_review</x:v>
      </x:c>
      <x:c r="O75" s="24" t="str">
        <x:v>NEEDS_HUMAN_VALIDATION_BEFORE_FINAL_RESEARCH_MODEL</x:v>
      </x:c>
    </x:row>
    <x:row r="76">
      <x:c r="A76" s="24" t="str">
        <x:v>S075</x:v>
      </x:c>
      <x:c r="B76" s="24" t="str">
        <x:v>PC01</x:v>
      </x:c>
      <x:c r="C76" s="24" t="str">
        <x:v>S075_PC01.jpeg</x:v>
      </x:c>
      <x:c r="D76" s="24" t="str">
        <x:v>images/picture_completion/S075_PC01.jpeg</x:v>
      </x:c>
      <x:c r="E76" s="24" t="n">
        <x:v>5</x:v>
      </x:c>
      <x:c r="F76" s="24" t="n">
        <x:v>5</x:v>
      </x:c>
      <x:c r="G76" s="24" t="n">
        <x:v>5</x:v>
      </x:c>
      <x:c r="H76" s="24" t="n">
        <x:v>5</x:v>
      </x:c>
      <x:c r="I76" s="24" t="n">
        <x:f>SUM(E76:H76)</x:f>
        <x:v>20</x:v>
      </x:c>
      <x:c r="J76" s="25" t="n">
        <x:f>AVERAGE(E76:H76)</x:f>
        <x:v>5</x:v>
      </x:c>
      <x:c r="K76" s="24" t="str">
        <x:v>train</x:v>
      </x:c>
      <x:c r="L76" s="24" t="str">
        <x:v>Moon/face in night-sky scene</x:v>
      </x:c>
      <x:c r="M76" s="24" t="str">
        <x:v>night-sky scene transformation</x:v>
      </x:c>
      <x:c r="N76" s="24" t="str">
        <x:v>assistant_preliminary_visual_review</x:v>
      </x:c>
      <x:c r="O76" s="24" t="str">
        <x:v>NEEDS_HUMAN_VALIDATION_BEFORE_FINAL_RESEARCH_MODEL</x:v>
      </x:c>
    </x:row>
    <x:row r="77">
      <x:c r="A77" s="24" t="str">
        <x:v>S076</x:v>
      </x:c>
      <x:c r="B77" s="24" t="str">
        <x:v>PC01</x:v>
      </x:c>
      <x:c r="C77" s="24" t="str">
        <x:v>S076_PC01.jpeg</x:v>
      </x:c>
      <x:c r="D77" s="24" t="str">
        <x:v>images/picture_completion/S076_PC01.jpeg</x:v>
      </x:c>
      <x:c r="E77" s="24" t="n">
        <x:v>4</x:v>
      </x:c>
      <x:c r="F77" s="24" t="n">
        <x:v>3</x:v>
      </x:c>
      <x:c r="G77" s="24" t="n">
        <x:v>4</x:v>
      </x:c>
      <x:c r="H77" s="24" t="n">
        <x:v>3</x:v>
      </x:c>
      <x:c r="I77" s="24" t="n">
        <x:f>SUM(E77:H77)</x:f>
        <x:v>14</x:v>
      </x:c>
      <x:c r="J77" s="25" t="n">
        <x:f>AVERAGE(E77:H77)</x:f>
        <x:v>3.5</x:v>
      </x:c>
      <x:c r="K77" s="24" t="str">
        <x:v>test</x:v>
      </x:c>
      <x:c r="L77" s="24" t="str">
        <x:v>Brown winged animal/insect-like character</x:v>
      </x:c>
      <x:c r="M77" s="24" t="str">
        <x:v>animal/insect transformation</x:v>
      </x:c>
      <x:c r="N77" s="24" t="str">
        <x:v>assistant_preliminary_visual_review</x:v>
      </x:c>
      <x:c r="O77" s="24" t="str">
        <x:v>NEEDS_HUMAN_VALIDATION_BEFORE_FINAL_RESEARCH_MODEL</x:v>
      </x:c>
    </x:row>
    <x:row r="78">
      <x:c r="A78" s="24" t="str">
        <x:v>S077</x:v>
      </x:c>
      <x:c r="B78" s="24" t="str">
        <x:v>PC01</x:v>
      </x:c>
      <x:c r="C78" s="24" t="str">
        <x:v>S077_PC01.jpeg</x:v>
      </x:c>
      <x:c r="D78" s="24" t="str">
        <x:v>images/picture_completion/S077_PC01.jpeg</x:v>
      </x:c>
      <x:c r="E78" s="24" t="n">
        <x:v>5</x:v>
      </x:c>
      <x:c r="F78" s="24" t="n">
        <x:v>4</x:v>
      </x:c>
      <x:c r="G78" s="24" t="n">
        <x:v>5</x:v>
      </x:c>
      <x:c r="H78" s="24" t="n">
        <x:v>4</x:v>
      </x:c>
      <x:c r="I78" s="24" t="n">
        <x:f>SUM(E78:H78)</x:f>
        <x:v>18</x:v>
      </x:c>
      <x:c r="J78" s="25" t="n">
        <x:f>AVERAGE(E78:H78)</x:f>
        <x:v>4.5</x:v>
      </x:c>
      <x:c r="K78" s="24" t="str">
        <x:v>train</x:v>
      </x:c>
      <x:c r="L78" s="24" t="str">
        <x:v>Bird/animal character with colorful side shapes</x:v>
      </x:c>
      <x:c r="M78" s="24" t="str">
        <x:v>animal-character transformation</x:v>
      </x:c>
      <x:c r="N78" s="24" t="str">
        <x:v>assistant_preliminary_visual_review</x:v>
      </x:c>
      <x:c r="O78" s="24" t="str">
        <x:v>NEEDS_HUMAN_VALIDATION_BEFORE_FINAL_RESEARCH_MODEL</x:v>
      </x:c>
    </x:row>
    <x:row r="79">
      <x:c r="A79" s="24" t="str">
        <x:v>S078</x:v>
      </x:c>
      <x:c r="B79" s="24" t="str">
        <x:v>PC01</x:v>
      </x:c>
      <x:c r="C79" s="24" t="str">
        <x:v>S078_PC01.jpeg</x:v>
      </x:c>
      <x:c r="D79" s="24" t="str">
        <x:v>images/picture_completion/S078_PC01.jpeg</x:v>
      </x:c>
      <x:c r="E79" s="24" t="n">
        <x:v>4</x:v>
      </x:c>
      <x:c r="F79" s="24" t="n">
        <x:v>5</x:v>
      </x:c>
      <x:c r="G79" s="24" t="n">
        <x:v>4</x:v>
      </x:c>
      <x:c r="H79" s="24" t="n">
        <x:v>4</x:v>
      </x:c>
      <x:c r="I79" s="24" t="n">
        <x:f>SUM(E79:H79)</x:f>
        <x:v>17</x:v>
      </x:c>
      <x:c r="J79" s="25" t="n">
        <x:f>AVERAGE(E79:H79)</x:f>
        <x:v>4.25</x:v>
      </x:c>
      <x:c r="K79" s="24" t="str">
        <x:v>validation</x:v>
      </x:c>
      <x:c r="L79" s="24" t="str">
        <x:v>Multicolored flower-face character</x:v>
      </x:c>
      <x:c r="M79" s="24" t="str">
        <x:v>flower-character transformation</x:v>
      </x:c>
      <x:c r="N79" s="24" t="str">
        <x:v>assistant_preliminary_visual_review</x:v>
      </x:c>
      <x:c r="O79" s="24" t="str">
        <x:v>NEEDS_HUMAN_VALIDATION_BEFORE_FINAL_RESEARCH_MODEL</x:v>
      </x:c>
    </x:row>
    <x:row r="80">
      <x:c r="A80" s="24" t="str">
        <x:v>S079</x:v>
      </x:c>
      <x:c r="B80" s="24" t="str">
        <x:v>PC01</x:v>
      </x:c>
      <x:c r="C80" s="24" t="str">
        <x:v>S079_PC01.jpeg</x:v>
      </x:c>
      <x:c r="D80" s="24" t="str">
        <x:v>images/picture_completion/S079_PC01.jpeg</x:v>
      </x:c>
      <x:c r="E80" s="24" t="n">
        <x:v>4</x:v>
      </x:c>
      <x:c r="F80" s="24" t="n">
        <x:v>4</x:v>
      </x:c>
      <x:c r="G80" s="24" t="n">
        <x:v>4</x:v>
      </x:c>
      <x:c r="H80" s="24" t="n">
        <x:v>3</x:v>
      </x:c>
      <x:c r="I80" s="24" t="n">
        <x:f>SUM(E80:H80)</x:f>
        <x:v>15</x:v>
      </x:c>
      <x:c r="J80" s="25" t="n">
        <x:f>AVERAGE(E80:H80)</x:f>
        <x:v>3.75</x:v>
      </x:c>
      <x:c r="K80" s="24" t="str">
        <x:v>train</x:v>
      </x:c>
      <x:c r="L80" s="24" t="str">
        <x:v>Pink pig/bear-like animal character</x:v>
      </x:c>
      <x:c r="M80" s="24" t="str">
        <x:v>animal-character transformation</x:v>
      </x:c>
      <x:c r="N80" s="24" t="str">
        <x:v>assistant_preliminary_visual_review</x:v>
      </x:c>
      <x:c r="O80" s="24" t="str">
        <x:v>NEEDS_HUMAN_VALIDATION_BEFORE_FINAL_RESEARCH_MODEL</x:v>
      </x:c>
    </x:row>
    <x:row r="81">
      <x:c r="A81" s="24" t="str">
        <x:v>S080</x:v>
      </x:c>
      <x:c r="B81" s="24" t="str">
        <x:v>PC01</x:v>
      </x:c>
      <x:c r="C81" s="24" t="str">
        <x:v>S080_PC01.jpeg</x:v>
      </x:c>
      <x:c r="D81" s="24" t="str">
        <x:v>images/picture_completion/S080_PC01.jpeg</x:v>
      </x:c>
      <x:c r="E81" s="24" t="n">
        <x:v>5</x:v>
      </x:c>
      <x:c r="F81" s="24" t="n">
        <x:v>4</x:v>
      </x:c>
      <x:c r="G81" s="24" t="n">
        <x:v>5</x:v>
      </x:c>
      <x:c r="H81" s="24" t="n">
        <x:v>4</x:v>
      </x:c>
      <x:c r="I81" s="24" t="n">
        <x:f>SUM(E81:H81)</x:f>
        <x:v>18</x:v>
      </x:c>
      <x:c r="J81" s="25" t="n">
        <x:f>AVERAGE(E81:H81)</x:f>
        <x:v>4.5</x:v>
      </x:c>
      <x:c r="K81" s="24" t="str">
        <x:v>train</x:v>
      </x:c>
      <x:c r="L81" s="24" t="str">
        <x:v>Circular hanging ornament/object with four colored motifs</x:v>
      </x:c>
      <x:c r="M81" s="24" t="str">
        <x:v>decorative object transformation</x:v>
      </x:c>
      <x:c r="N81" s="24" t="str">
        <x:v>assistant_preliminary_visual_review</x:v>
      </x:c>
      <x:c r="O81" s="24" t="str">
        <x:v>NEEDS_HUMAN_VALIDATION_BEFORE_FINAL_RESEARCH_MODEL</x:v>
      </x:c>
    </x:row>
    <x:row r="82">
      <x:c r="A82" s="24" t="str">
        <x:v>S081</x:v>
      </x:c>
      <x:c r="B82" s="24" t="str">
        <x:v>PC01</x:v>
      </x:c>
      <x:c r="C82" s="24" t="str">
        <x:v>S081_PC01.jpeg</x:v>
      </x:c>
      <x:c r="D82" s="24" t="str">
        <x:v>images/picture_completion/S081_PC01.jpeg</x:v>
      </x:c>
      <x:c r="E82" s="24" t="n">
        <x:v>2</x:v>
      </x:c>
      <x:c r="F82" s="24" t="n">
        <x:v>3</x:v>
      </x:c>
      <x:c r="G82" s="24" t="n">
        <x:v>2</x:v>
      </x:c>
      <x:c r="H82" s="24" t="n">
        <x:v>2</x:v>
      </x:c>
      <x:c r="I82" s="24" t="n">
        <x:f>SUM(E82:H82)</x:f>
        <x:v>9</x:v>
      </x:c>
      <x:c r="J82" s="25" t="n">
        <x:f>AVERAGE(E82:H82)</x:f>
        <x:v>2.25</x:v>
      </x:c>
      <x:c r="K82" s="24" t="str">
        <x:v>train</x:v>
      </x:c>
      <x:c r="L82" s="24" t="str">
        <x:v>Red sun-like circular form</x:v>
      </x:c>
      <x:c r="M82" s="24" t="str">
        <x:v>sun/radiant object transformation</x:v>
      </x:c>
      <x:c r="N82" s="24" t="str">
        <x:v>assistant_preliminary_visual_review</x:v>
      </x:c>
      <x:c r="O82" s="24" t="str">
        <x:v>NEEDS_HUMAN_VALIDATION_BEFORE_FINAL_RESEARCH_MODEL</x:v>
      </x:c>
    </x:row>
    <x:row r="83">
      <x:c r="A83" s="24" t="str">
        <x:v>S082</x:v>
      </x:c>
      <x:c r="B83" s="24" t="str">
        <x:v>PC01</x:v>
      </x:c>
      <x:c r="C83" s="24" t="str">
        <x:v>S082_PC01.jpeg</x:v>
      </x:c>
      <x:c r="D83" s="24" t="str">
        <x:v>images/picture_completion/S082_PC01.jpeg</x:v>
      </x:c>
      <x:c r="E83" s="24" t="n">
        <x:v>5</x:v>
      </x:c>
      <x:c r="F83" s="24" t="n">
        <x:v>3</x:v>
      </x:c>
      <x:c r="G83" s="24" t="n">
        <x:v>4</x:v>
      </x:c>
      <x:c r="H83" s="24" t="n">
        <x:v>3</x:v>
      </x:c>
      <x:c r="I83" s="24" t="n">
        <x:f>SUM(E83:H83)</x:f>
        <x:v>15</x:v>
      </x:c>
      <x:c r="J83" s="25" t="n">
        <x:f>AVERAGE(E83:H83)</x:f>
        <x:v>3.75</x:v>
      </x:c>
      <x:c r="K83" s="24" t="str">
        <x:v>test</x:v>
      </x:c>
      <x:c r="L83" s="24" t="str">
        <x:v>Green leaf/plant-like object with small top element</x:v>
      </x:c>
      <x:c r="M83" s="24" t="str">
        <x:v>plant/object transformation</x:v>
      </x:c>
      <x:c r="N83" s="24" t="str">
        <x:v>assistant_preliminary_visual_review</x:v>
      </x:c>
      <x:c r="O83" s="24" t="str">
        <x:v>NEEDS_HUMAN_VALIDATION_BEFORE_FINAL_RESEARCH_MODEL</x:v>
      </x:c>
    </x:row>
    <x:row r="84">
      <x:c r="A84" s="24" t="str">
        <x:v>S083</x:v>
      </x:c>
      <x:c r="B84" s="24" t="str">
        <x:v>PC01</x:v>
      </x:c>
      <x:c r="C84" s="24" t="str">
        <x:v>S083_PC01.jpeg</x:v>
      </x:c>
      <x:c r="D84" s="24" t="str">
        <x:v>images/picture_completion/S083_PC01.jpeg</x:v>
      </x:c>
      <x:c r="E84" s="24" t="n">
        <x:v>5</x:v>
      </x:c>
      <x:c r="F84" s="24" t="n">
        <x:v>4</x:v>
      </x:c>
      <x:c r="G84" s="24" t="n">
        <x:v>5</x:v>
      </x:c>
      <x:c r="H84" s="24" t="n">
        <x:v>4</x:v>
      </x:c>
      <x:c r="I84" s="24" t="n">
        <x:f>SUM(E84:H84)</x:f>
        <x:v>18</x:v>
      </x:c>
      <x:c r="J84" s="25" t="n">
        <x:f>AVERAGE(E84:H84)</x:f>
        <x:v>4.5</x:v>
      </x:c>
      <x:c r="K84" s="24" t="str">
        <x:v>train</x:v>
      </x:c>
      <x:c r="L84" s="24" t="str">
        <x:v>Bird/animal character with rainbow-like tail</x:v>
      </x:c>
      <x:c r="M84" s="24" t="str">
        <x:v>animal-character transformation</x:v>
      </x:c>
      <x:c r="N84" s="24" t="str">
        <x:v>assistant_preliminary_visual_review</x:v>
      </x:c>
      <x:c r="O84" s="24" t="str">
        <x:v>NEEDS_HUMAN_VALIDATION_BEFORE_FINAL_RESEARCH_MODEL</x:v>
      </x:c>
    </x:row>
    <x:row r="85">
      <x:c r="A85" s="24" t="str">
        <x:v>S084</x:v>
      </x:c>
      <x:c r="B85" s="24" t="str">
        <x:v>PC01</x:v>
      </x:c>
      <x:c r="C85" s="24" t="str">
        <x:v>S084_PC01.jpeg</x:v>
      </x:c>
      <x:c r="D85" s="24" t="str">
        <x:v>images/picture_completion/S084_PC01.jpeg</x:v>
      </x:c>
      <x:c r="E85" s="24" t="n">
        <x:v>4</x:v>
      </x:c>
      <x:c r="F85" s="24" t="n">
        <x:v>3</x:v>
      </x:c>
      <x:c r="G85" s="24" t="n">
        <x:v>4</x:v>
      </x:c>
      <x:c r="H85" s="24" t="n">
        <x:v>3</x:v>
      </x:c>
      <x:c r="I85" s="24" t="n">
        <x:f>SUM(E85:H85)</x:f>
        <x:v>14</x:v>
      </x:c>
      <x:c r="J85" s="25" t="n">
        <x:f>AVERAGE(E85:H85)</x:f>
        <x:v>3.5</x:v>
      </x:c>
      <x:c r="K85" s="24" t="str">
        <x:v>validation</x:v>
      </x:c>
      <x:c r="L85" s="24" t="str">
        <x:v>Small pink animal/bird inside circle</x:v>
      </x:c>
      <x:c r="M85" s="24" t="str">
        <x:v>small animal transformation</x:v>
      </x:c>
      <x:c r="N85" s="24" t="str">
        <x:v>assistant_preliminary_visual_review</x:v>
      </x:c>
      <x:c r="O85" s="24" t="str">
        <x:v>NEEDS_HUMAN_VALIDATION_BEFORE_FINAL_RESEARCH_MODEL</x:v>
      </x:c>
    </x:row>
    <x:row r="86">
      <x:c r="A86" s="24" t="str">
        <x:v>S085</x:v>
      </x:c>
      <x:c r="B86" s="24" t="str">
        <x:v>PC01</x:v>
      </x:c>
      <x:c r="C86" s="24" t="str">
        <x:v>S085_PC01.jpeg</x:v>
      </x:c>
      <x:c r="D86" s="24" t="str">
        <x:v>images/picture_completion/S085_PC01.jpeg</x:v>
      </x:c>
      <x:c r="E86" s="24" t="n">
        <x:v>4</x:v>
      </x:c>
      <x:c r="F86" s="24" t="n">
        <x:v>4</x:v>
      </x:c>
      <x:c r="G86" s="24" t="n">
        <x:v>4</x:v>
      </x:c>
      <x:c r="H86" s="24" t="n">
        <x:v>3</x:v>
      </x:c>
      <x:c r="I86" s="24" t="n">
        <x:f>SUM(E86:H86)</x:f>
        <x:v>15</x:v>
      </x:c>
      <x:c r="J86" s="25" t="n">
        <x:f>AVERAGE(E86:H86)</x:f>
        <x:v>3.75</x:v>
      </x:c>
      <x:c r="K86" s="24" t="str">
        <x:v>train</x:v>
      </x:c>
      <x:c r="L86" s="24" t="str">
        <x:v>Orange circular landscape/tree scene</x:v>
      </x:c>
      <x:c r="M86" s="24" t="str">
        <x:v>landscape/pattern scene transformation</x:v>
      </x:c>
      <x:c r="N86" s="24" t="str">
        <x:v>assistant_preliminary_visual_review</x:v>
      </x:c>
      <x:c r="O86" s="24" t="str">
        <x:v>NEEDS_HUMAN_VALIDATION_BEFORE_FINAL_RESEARCH_MODEL</x:v>
      </x:c>
    </x:row>
    <x:row r="87">
      <x:c r="A87" s="24" t="str">
        <x:v>S086</x:v>
      </x:c>
      <x:c r="B87" s="24" t="str">
        <x:v>PC01</x:v>
      </x:c>
      <x:c r="C87" s="24" t="str">
        <x:v>S086_PC01.jpeg</x:v>
      </x:c>
      <x:c r="D87" s="24" t="str">
        <x:v>images/picture_completion/S086_PC01.jpeg</x:v>
      </x:c>
      <x:c r="E87" s="24" t="n">
        <x:v>5</x:v>
      </x:c>
      <x:c r="F87" s="24" t="n">
        <x:v>4</x:v>
      </x:c>
      <x:c r="G87" s="24" t="n">
        <x:v>5</x:v>
      </x:c>
      <x:c r="H87" s="24" t="n">
        <x:v>5</x:v>
      </x:c>
      <x:c r="I87" s="24" t="n">
        <x:f>SUM(E87:H87)</x:f>
        <x:v>19</x:v>
      </x:c>
      <x:c r="J87" s="25" t="n">
        <x:f>AVERAGE(E87:H87)</x:f>
        <x:v>4.75</x:v>
      </x:c>
      <x:c r="K87" s="24" t="str">
        <x:v>train</x:v>
      </x:c>
      <x:c r="L87" s="24" t="str">
        <x:v>Two people in a sky/cloud scene</x:v>
      </x:c>
      <x:c r="M87" s="24" t="str">
        <x:v>multi-character scene transformation</x:v>
      </x:c>
      <x:c r="N87" s="24" t="str">
        <x:v>assistant_preliminary_visual_review</x:v>
      </x:c>
      <x:c r="O87" s="24" t="str">
        <x:v>NEEDS_HUMAN_VALIDATION_BEFORE_FINAL_RESEARCH_MODEL</x:v>
      </x:c>
    </x:row>
    <x:row r="88">
      <x:c r="A88" s="24" t="str">
        <x:v>S087</x:v>
      </x:c>
      <x:c r="B88" s="24" t="str">
        <x:v>PC01</x:v>
      </x:c>
      <x:c r="C88" s="24" t="str">
        <x:v>S087_PC01.jpeg</x:v>
      </x:c>
      <x:c r="D88" s="24" t="str">
        <x:v>images/picture_completion/S087_PC01.jpeg</x:v>
      </x:c>
      <x:c r="E88" s="24" t="n">
        <x:v>5</x:v>
      </x:c>
      <x:c r="F88" s="24" t="n">
        <x:v>4</x:v>
      </x:c>
      <x:c r="G88" s="24" t="n">
        <x:v>5</x:v>
      </x:c>
      <x:c r="H88" s="24" t="n">
        <x:v>4</x:v>
      </x:c>
      <x:c r="I88" s="24" t="n">
        <x:f>SUM(E88:H88)</x:f>
        <x:v>18</x:v>
      </x:c>
      <x:c r="J88" s="25" t="n">
        <x:f>AVERAGE(E88:H88)</x:f>
        <x:v>4.5</x:v>
      </x:c>
      <x:c r="K88" s="24" t="str">
        <x:v>test</x:v>
      </x:c>
      <x:c r="L88" s="24" t="str">
        <x:v>Green vehicle/tractor-like object with sky elements</x:v>
      </x:c>
      <x:c r="M88" s="24" t="str">
        <x:v>vehicle scene transformation</x:v>
      </x:c>
      <x:c r="N88" s="24" t="str">
        <x:v>assistant_preliminary_visual_review</x:v>
      </x:c>
      <x:c r="O88" s="24" t="str">
        <x:v>NEEDS_HUMAN_VALIDATION_BEFORE_FINAL_RESEARCH_MODEL</x:v>
      </x:c>
    </x:row>
    <x:row r="89">
      <x:c r="A89" s="24" t="str">
        <x:v>S088</x:v>
      </x:c>
      <x:c r="B89" s="24" t="str">
        <x:v>PC01</x:v>
      </x:c>
      <x:c r="C89" s="24" t="str">
        <x:v>S088_PC01.jpeg</x:v>
      </x:c>
      <x:c r="D89" s="24" t="str">
        <x:v>images/picture_completion/S088_PC01.jpeg</x:v>
      </x:c>
      <x:c r="E89" s="24" t="n">
        <x:v>3</x:v>
      </x:c>
      <x:c r="F89" s="24" t="n">
        <x:v>4</x:v>
      </x:c>
      <x:c r="G89" s="24" t="n">
        <x:v>4</x:v>
      </x:c>
      <x:c r="H89" s="24" t="n">
        <x:v>3</x:v>
      </x:c>
      <x:c r="I89" s="24" t="n">
        <x:f>SUM(E89:H89)</x:f>
        <x:v>14</x:v>
      </x:c>
      <x:c r="J89" s="25" t="n">
        <x:f>AVERAGE(E89:H89)</x:f>
        <x:v>3.5</x:v>
      </x:c>
      <x:c r="K89" s="24" t="str">
        <x:v>train</x:v>
      </x:c>
      <x:c r="L89" s="24" t="str">
        <x:v>Orange landscape with tree</x:v>
      </x:c>
      <x:c r="M89" s="24" t="str">
        <x:v>landscape scene transformation</x:v>
      </x:c>
      <x:c r="N89" s="24" t="str">
        <x:v>assistant_preliminary_visual_review</x:v>
      </x:c>
      <x:c r="O89" s="24" t="str">
        <x:v>NEEDS_HUMAN_VALIDATION_BEFORE_FINAL_RESEARCH_MODEL</x:v>
      </x:c>
    </x:row>
    <x:row r="90">
      <x:c r="A90" s="24" t="str">
        <x:v>S089</x:v>
      </x:c>
      <x:c r="B90" s="24" t="str">
        <x:v>PC01</x:v>
      </x:c>
      <x:c r="C90" s="24" t="str">
        <x:v>S089_PC01.jpeg</x:v>
      </x:c>
      <x:c r="D90" s="24" t="str">
        <x:v>images/picture_completion/S089_PC01.jpeg</x:v>
      </x:c>
      <x:c r="E90" s="24" t="n">
        <x:v>5</x:v>
      </x:c>
      <x:c r="F90" s="24" t="n">
        <x:v>3</x:v>
      </x:c>
      <x:c r="G90" s="24" t="n">
        <x:v>5</x:v>
      </x:c>
      <x:c r="H90" s="24" t="n">
        <x:v>4</x:v>
      </x:c>
      <x:c r="I90" s="24" t="n">
        <x:f>SUM(E90:H90)</x:f>
        <x:v>17</x:v>
      </x:c>
      <x:c r="J90" s="25" t="n">
        <x:f>AVERAGE(E90:H90)</x:f>
        <x:v>4.25</x:v>
      </x:c>
      <x:c r="K90" s="24" t="str">
        <x:v>train</x:v>
      </x:c>
      <x:c r="L90" s="24" t="str">
        <x:v>Small character/object under blue band</x:v>
      </x:c>
      <x:c r="M90" s="24" t="str">
        <x:v>abstract character/object transformation</x:v>
      </x:c>
      <x:c r="N90" s="24" t="str">
        <x:v>assistant_preliminary_visual_review</x:v>
      </x:c>
      <x:c r="O90" s="24" t="str">
        <x:v>NEEDS_HUMAN_VALIDATION_BEFORE_FINAL_RESEARCH_MODEL</x:v>
      </x:c>
    </x:row>
    <x:row r="91">
      <x:c r="A91" s="24" t="str">
        <x:v>S090</x:v>
      </x:c>
      <x:c r="B91" s="24" t="str">
        <x:v>PC01</x:v>
      </x:c>
      <x:c r="C91" s="24" t="str">
        <x:v>S090_PC01.jpeg</x:v>
      </x:c>
      <x:c r="D91" s="24" t="str">
        <x:v>images/picture_completion/S090_PC01.jpeg</x:v>
      </x:c>
      <x:c r="E91" s="24" t="n">
        <x:v>4</x:v>
      </x:c>
      <x:c r="F91" s="24" t="n">
        <x:v>4</x:v>
      </x:c>
      <x:c r="G91" s="24" t="n">
        <x:v>4</x:v>
      </x:c>
      <x:c r="H91" s="24" t="n">
        <x:v>3</x:v>
      </x:c>
      <x:c r="I91" s="24" t="n">
        <x:f>SUM(E91:H91)</x:f>
        <x:v>15</x:v>
      </x:c>
      <x:c r="J91" s="25" t="n">
        <x:f>AVERAGE(E91:H91)</x:f>
        <x:v>3.75</x:v>
      </x:c>
      <x:c r="K91" s="24" t="str">
        <x:v>validation</x:v>
      </x:c>
      <x:c r="L91" s="24" t="str">
        <x:v>Red outer ring with purple inner circular pattern</x:v>
      </x:c>
      <x:c r="M91" s="24" t="str">
        <x:v>decorative abstract transformation</x:v>
      </x:c>
      <x:c r="N91" s="24" t="str">
        <x:v>assistant_preliminary_visual_review</x:v>
      </x:c>
      <x:c r="O91" s="24" t="str">
        <x:v>NEEDS_HUMAN_VALIDATION_BEFORE_FINAL_RESEARCH_MODEL</x:v>
      </x:c>
    </x:row>
    <x:row r="92">
      <x:c r="A92" s="24" t="str">
        <x:v>S091</x:v>
      </x:c>
      <x:c r="B92" s="24" t="str">
        <x:v>PC01</x:v>
      </x:c>
      <x:c r="C92" s="24" t="str">
        <x:v>S091_PC01.jpeg</x:v>
      </x:c>
      <x:c r="D92" s="24" t="str">
        <x:v>images/picture_completion/S091_PC01.jpeg</x:v>
      </x:c>
      <x:c r="E92" s="24" t="n">
        <x:v>4</x:v>
      </x:c>
      <x:c r="F92" s="24" t="n">
        <x:v>2</x:v>
      </x:c>
      <x:c r="G92" s="24" t="n">
        <x:v>2</x:v>
      </x:c>
      <x:c r="H92" s="24" t="n">
        <x:v>3</x:v>
      </x:c>
      <x:c r="I92" s="24" t="n">
        <x:f>SUM(E92:H92)</x:f>
        <x:v>11</x:v>
      </x:c>
      <x:c r="J92" s="25" t="n">
        <x:f>AVERAGE(E92:H92)</x:f>
        <x:v>2.75</x:v>
      </x:c>
      <x:c r="K92" s="24" t="str">
        <x:v>train</x:v>
      </x:c>
      <x:c r="L92" s="24" t="str">
        <x:v>Two-tone green and orange circular object</x:v>
      </x:c>
      <x:c r="M92" s="24" t="str">
        <x:v>abstract color-block transformation</x:v>
      </x:c>
      <x:c r="N92" s="24" t="str">
        <x:v>assistant_preliminary_visual_review</x:v>
      </x:c>
      <x:c r="O92" s="24" t="str">
        <x:v>NEEDS_HUMAN_VALIDATION_BEFORE_FINAL_RESEARCH_MODEL</x:v>
      </x:c>
    </x:row>
    <x:row r="93">
      <x:c r="A93" s="24" t="str">
        <x:v>S092</x:v>
      </x:c>
      <x:c r="B93" s="24" t="str">
        <x:v>PC01</x:v>
      </x:c>
      <x:c r="C93" s="24" t="str">
        <x:v>S092_PC01.jpeg</x:v>
      </x:c>
      <x:c r="D93" s="24" t="str">
        <x:v>images/picture_completion/S092_PC01.jpeg</x:v>
      </x:c>
      <x:c r="E93" s="24" t="n">
        <x:v>4</x:v>
      </x:c>
      <x:c r="F93" s="24" t="n">
        <x:v>3</x:v>
      </x:c>
      <x:c r="G93" s="24" t="n">
        <x:v>3</x:v>
      </x:c>
      <x:c r="H93" s="24" t="n">
        <x:v>4</x:v>
      </x:c>
      <x:c r="I93" s="24" t="n">
        <x:f>SUM(E93:H93)</x:f>
        <x:v>14</x:v>
      </x:c>
      <x:c r="J93" s="25" t="n">
        <x:f>AVERAGE(E93:H93)</x:f>
        <x:v>3.5</x:v>
      </x:c>
      <x:c r="K93" s="24" t="str">
        <x:v>validation</x:v>
      </x:c>
      <x:c r="L93" s="24" t="str">
        <x:v>Jellyfish-like figure with smiling face</x:v>
      </x:c>
      <x:c r="M93" s="24" t="str">
        <x:v>animal/sea-creature transformation</x:v>
      </x:c>
      <x:c r="N93" s="24" t="str">
        <x:v>assistant_preliminary_visual_review</x:v>
      </x:c>
      <x:c r="O93" s="24" t="str">
        <x:v>NEEDS_HUMAN_VALIDATION_BEFORE_FINAL_RESEARCH_MODEL</x:v>
      </x:c>
    </x:row>
    <x:row r="94">
      <x:c r="A94" s="24" t="str">
        <x:v>S093</x:v>
      </x:c>
      <x:c r="B94" s="24" t="str">
        <x:v>PC01</x:v>
      </x:c>
      <x:c r="C94" s="24" t="str">
        <x:v>S093_PC01.jpeg</x:v>
      </x:c>
      <x:c r="D94" s="24" t="str">
        <x:v>images/picture_completion/S093_PC01.jpeg</x:v>
      </x:c>
      <x:c r="E94" s="24" t="n">
        <x:v>5</x:v>
      </x:c>
      <x:c r="F94" s="24" t="n">
        <x:v>4</x:v>
      </x:c>
      <x:c r="G94" s="24" t="n">
        <x:v>5</x:v>
      </x:c>
      <x:c r="H94" s="24" t="n">
        <x:v>5</x:v>
      </x:c>
      <x:c r="I94" s="24" t="n">
        <x:f>SUM(E94:H94)</x:f>
        <x:v>19</x:v>
      </x:c>
      <x:c r="J94" s="25" t="n">
        <x:f>AVERAGE(E94:H94)</x:f>
        <x:v>4.75</x:v>
      </x:c>
      <x:c r="K94" s="24" t="str">
        <x:v>train</x:v>
      </x:c>
      <x:c r="L94" s="24" t="str">
        <x:v>Elaborate multicolored flower or decorative mandala</x:v>
      </x:c>
      <x:c r="M94" s="24" t="str">
        <x:v>decorative floral transformation</x:v>
      </x:c>
      <x:c r="N94" s="24" t="str">
        <x:v>assistant_preliminary_visual_review</x:v>
      </x:c>
      <x:c r="O94" s="24" t="str">
        <x:v>NEEDS_HUMAN_VALIDATION_BEFORE_FINAL_RESEARCH_MODEL</x:v>
      </x:c>
    </x:row>
    <x:row r="95">
      <x:c r="A95" s="24" t="str">
        <x:v>S094</x:v>
      </x:c>
      <x:c r="B95" s="24" t="str">
        <x:v>PC01</x:v>
      </x:c>
      <x:c r="C95" s="24" t="str">
        <x:v>S094_PC01.jpeg</x:v>
      </x:c>
      <x:c r="D95" s="24" t="str">
        <x:v>images/picture_completion/S094_PC01.jpeg</x:v>
      </x:c>
      <x:c r="E95" s="24" t="n">
        <x:v>4</x:v>
      </x:c>
      <x:c r="F95" s="24" t="n">
        <x:v>4</x:v>
      </x:c>
      <x:c r="G95" s="24" t="n">
        <x:v>4</x:v>
      </x:c>
      <x:c r="H95" s="24" t="n">
        <x:v>4</x:v>
      </x:c>
      <x:c r="I95" s="24" t="n">
        <x:f>SUM(E95:H95)</x:f>
        <x:v>16</x:v>
      </x:c>
      <x:c r="J95" s="25" t="n">
        <x:f>AVERAGE(E95:H95)</x:f>
        <x:v>4</x:v>
      </x:c>
      <x:c r="K95" s="24" t="str">
        <x:v>train</x:v>
      </x:c>
      <x:c r="L95" s="24" t="str">
        <x:v>Face with geometric decorations</x:v>
      </x:c>
      <x:c r="M95" s="24" t="str">
        <x:v>face-and-symbol transformation</x:v>
      </x:c>
      <x:c r="N95" s="24" t="str">
        <x:v>assistant_preliminary_visual_review</x:v>
      </x:c>
      <x:c r="O95" s="24" t="str">
        <x:v>NEEDS_HUMAN_VALIDATION_BEFORE_FINAL_RESEARCH_MODEL</x:v>
      </x:c>
    </x:row>
    <x:row r="96">
      <x:c r="A96" s="24" t="str">
        <x:v>S095</x:v>
      </x:c>
      <x:c r="B96" s="24" t="str">
        <x:v>PC01</x:v>
      </x:c>
      <x:c r="C96" s="24" t="str">
        <x:v>S095_PC01.jpeg</x:v>
      </x:c>
      <x:c r="D96" s="24" t="str">
        <x:v>images/picture_completion/S095_PC01.jpeg</x:v>
      </x:c>
      <x:c r="E96" s="24" t="n">
        <x:v>4</x:v>
      </x:c>
      <x:c r="F96" s="24" t="n">
        <x:v>4</x:v>
      </x:c>
      <x:c r="G96" s="24" t="n">
        <x:v>5</x:v>
      </x:c>
      <x:c r="H96" s="24" t="n">
        <x:v>3</x:v>
      </x:c>
      <x:c r="I96" s="24" t="n">
        <x:f>SUM(E96:H96)</x:f>
        <x:v>16</x:v>
      </x:c>
      <x:c r="J96" s="25" t="n">
        <x:f>AVERAGE(E96:H96)</x:f>
        <x:v>4</x:v>
      </x:c>
      <x:c r="K96" s="24" t="str">
        <x:v>test</x:v>
      </x:c>
      <x:c r="L96" s="24" t="str">
        <x:v>Pinwheel or umbrella-like circular design</x:v>
      </x:c>
      <x:c r="M96" s="24" t="str">
        <x:v>radial-pattern transformation</x:v>
      </x:c>
      <x:c r="N96" s="24" t="str">
        <x:v>assistant_preliminary_visual_review</x:v>
      </x:c>
      <x:c r="O96" s="24" t="str">
        <x:v>NEEDS_HUMAN_VALIDATION_BEFORE_FINAL_RESEARCH_MODEL</x:v>
      </x:c>
    </x:row>
    <x:row r="97">
      <x:c r="A97" s="24" t="str">
        <x:v>S096</x:v>
      </x:c>
      <x:c r="B97" s="24" t="str">
        <x:v>PC01</x:v>
      </x:c>
      <x:c r="C97" s="24" t="str">
        <x:v>S096_PC01.jpeg</x:v>
      </x:c>
      <x:c r="D97" s="24" t="str">
        <x:v>images/picture_completion/S096_PC01.jpeg</x:v>
      </x:c>
      <x:c r="E97" s="24" t="n">
        <x:v>4</x:v>
      </x:c>
      <x:c r="F97" s="24" t="n">
        <x:v>3</x:v>
      </x:c>
      <x:c r="G97" s="24" t="n">
        <x:v>3</x:v>
      </x:c>
      <x:c r="H97" s="24" t="n">
        <x:v>3</x:v>
      </x:c>
      <x:c r="I97" s="24" t="n">
        <x:f>SUM(E97:H97)</x:f>
        <x:v>13</x:v>
      </x:c>
      <x:c r="J97" s="25" t="n">
        <x:f>AVERAGE(E97:H97)</x:f>
        <x:v>3.25</x:v>
      </x:c>
      <x:c r="K97" s="24" t="str">
        <x:v>train</x:v>
      </x:c>
      <x:c r="L97" s="24" t="str">
        <x:v>Small red vehicle or rocket-like object</x:v>
      </x:c>
      <x:c r="M97" s="24" t="str">
        <x:v>object/vehicle transformation</x:v>
      </x:c>
      <x:c r="N97" s="24" t="str">
        <x:v>assistant_preliminary_visual_review</x:v>
      </x:c>
      <x:c r="O97" s="24" t="str">
        <x:v>NEEDS_HUMAN_VALIDATION_BEFORE_FINAL_RESEARCH_MODEL</x:v>
      </x:c>
    </x:row>
    <x:row r="98">
      <x:c r="A98" s="24" t="str">
        <x:v>S097</x:v>
      </x:c>
      <x:c r="B98" s="24" t="str">
        <x:v>PC01</x:v>
      </x:c>
      <x:c r="C98" s="24" t="str">
        <x:v>S097_PC01.jpeg</x:v>
      </x:c>
      <x:c r="D98" s="24" t="str">
        <x:v>images/picture_completion/S097_PC01.jpeg</x:v>
      </x:c>
      <x:c r="E98" s="24" t="n">
        <x:v>3</x:v>
      </x:c>
      <x:c r="F98" s="24" t="n">
        <x:v>3</x:v>
      </x:c>
      <x:c r="G98" s="24" t="n">
        <x:v>4</x:v>
      </x:c>
      <x:c r="H98" s="24" t="n">
        <x:v>3</x:v>
      </x:c>
      <x:c r="I98" s="24" t="n">
        <x:f>SUM(E98:H98)</x:f>
        <x:v>13</x:v>
      </x:c>
      <x:c r="J98" s="25" t="n">
        <x:f>AVERAGE(E98:H98)</x:f>
        <x:v>3.25</x:v>
      </x:c>
      <x:c r="K98" s="24" t="str">
        <x:v>train</x:v>
      </x:c>
      <x:c r="L98" s="24" t="str">
        <x:v>Colorful wheel or lollipop with handle</x:v>
      </x:c>
      <x:c r="M98" s="24" t="str">
        <x:v>play-object transformation</x:v>
      </x:c>
      <x:c r="N98" s="24" t="str">
        <x:v>assistant_preliminary_visual_review</x:v>
      </x:c>
      <x:c r="O98" s="24" t="str">
        <x:v>NEEDS_HUMAN_VALIDATION_BEFORE_FINAL_RESEARCH_MODEL</x:v>
      </x:c>
    </x:row>
    <x:row r="99">
      <x:c r="A99" s="24" t="str">
        <x:v>S098</x:v>
      </x:c>
      <x:c r="B99" s="24" t="str">
        <x:v>PC01</x:v>
      </x:c>
      <x:c r="C99" s="24" t="str">
        <x:v>S098_PC01.jpeg</x:v>
      </x:c>
      <x:c r="D99" s="24" t="str">
        <x:v>images/picture_completion/S098_PC01.jpeg</x:v>
      </x:c>
      <x:c r="E99" s="24" t="n">
        <x:v>3</x:v>
      </x:c>
      <x:c r="F99" s="24" t="n">
        <x:v>3</x:v>
      </x:c>
      <x:c r="G99" s="24" t="n">
        <x:v>3</x:v>
      </x:c>
      <x:c r="H99" s="24" t="n">
        <x:v>3</x:v>
      </x:c>
      <x:c r="I99" s="24" t="n">
        <x:f>SUM(E99:H99)</x:f>
        <x:v>12</x:v>
      </x:c>
      <x:c r="J99" s="25" t="n">
        <x:f>AVERAGE(E99:H99)</x:f>
        <x:v>3</x:v>
      </x:c>
      <x:c r="K99" s="24" t="str">
        <x:v>train</x:v>
      </x:c>
      <x:c r="L99" s="24" t="str">
        <x:v>Rainbow-striped circular design</x:v>
      </x:c>
      <x:c r="M99" s="24" t="str">
        <x:v>abstract rainbow transformation</x:v>
      </x:c>
      <x:c r="N99" s="24" t="str">
        <x:v>assistant_preliminary_visual_review</x:v>
      </x:c>
      <x:c r="O99" s="24" t="str">
        <x:v>NEEDS_HUMAN_VALIDATION_BEFORE_FINAL_RESEARCH_MODEL</x:v>
      </x:c>
    </x:row>
    <x:row r="100">
      <x:c r="A100" s="24" t="str">
        <x:v>S099</x:v>
      </x:c>
      <x:c r="B100" s="24" t="str">
        <x:v>PC01</x:v>
      </x:c>
      <x:c r="C100" s="24" t="str">
        <x:v>S099_PC01.jpeg</x:v>
      </x:c>
      <x:c r="D100" s="24" t="str">
        <x:v>images/picture_completion/S099_PC01.jpeg</x:v>
      </x:c>
      <x:c r="E100" s="24" t="n">
        <x:v>4</x:v>
      </x:c>
      <x:c r="F100" s="24" t="n">
        <x:v>4</x:v>
      </x:c>
      <x:c r="G100" s="24" t="n">
        <x:v>5</x:v>
      </x:c>
      <x:c r="H100" s="24" t="n">
        <x:v>4</x:v>
      </x:c>
      <x:c r="I100" s="24" t="n">
        <x:f>SUM(E100:H100)</x:f>
        <x:v>17</x:v>
      </x:c>
      <x:c r="J100" s="25" t="n">
        <x:f>AVERAGE(E100:H100)</x:f>
        <x:v>4.25</x:v>
      </x:c>
      <x:c r="K100" s="24" t="str">
        <x:v>train</x:v>
      </x:c>
      <x:c r="L100" s="24" t="str">
        <x:v>Flower with expressive face and background scene</x:v>
      </x:c>
      <x:c r="M100" s="24" t="str">
        <x:v>flower-character transformation</x:v>
      </x:c>
      <x:c r="N100" s="24" t="str">
        <x:v>assistant_preliminary_visual_review</x:v>
      </x:c>
      <x:c r="O100" s="24" t="str">
        <x:v>NEEDS_HUMAN_VALIDATION_BEFORE_FINAL_RESEARCH_MODEL</x:v>
      </x:c>
    </x:row>
    <x:row r="101">
      <x:c r="A101" s="24" t="str">
        <x:v>S100</x:v>
      </x:c>
      <x:c r="B101" s="24" t="str">
        <x:v>PC01</x:v>
      </x:c>
      <x:c r="C101" s="24" t="str">
        <x:v>S100_PC01.jpeg</x:v>
      </x:c>
      <x:c r="D101" s="24" t="str">
        <x:v>images/picture_completion/S100_PC01.jpeg</x:v>
      </x:c>
      <x:c r="E101" s="24" t="n">
        <x:v>3</x:v>
      </x:c>
      <x:c r="F101" s="24" t="n">
        <x:v>4</x:v>
      </x:c>
      <x:c r="G101" s="24" t="n">
        <x:v>5</x:v>
      </x:c>
      <x:c r="H101" s="24" t="n">
        <x:v>3</x:v>
      </x:c>
      <x:c r="I101" s="24" t="n">
        <x:f>SUM(E101:H101)</x:f>
        <x:v>15</x:v>
      </x:c>
      <x:c r="J101" s="25" t="n">
        <x:f>AVERAGE(E101:H101)</x:f>
        <x:v>3.75</x:v>
      </x:c>
      <x:c r="K101" s="24" t="str">
        <x:v>train</x:v>
      </x:c>
      <x:c r="L101" s="24" t="str">
        <x:v>Multicolored wheel or pinwheel with handle</x:v>
      </x:c>
      <x:c r="M101" s="24" t="str">
        <x:v>radial play-object transformation</x:v>
      </x:c>
      <x:c r="N101" s="24" t="str">
        <x:v>assistant_preliminary_visual_review</x:v>
      </x:c>
      <x:c r="O101" s="24" t="str">
        <x:v>NEEDS_HUMAN_VALIDATION_BEFORE_FINAL_RESEARCH_MODEL</x:v>
      </x:c>
    </x:row>
    <x:row r="102">
      <x:c r="A102" s="24" t="str">
        <x:v>S101</x:v>
      </x:c>
      <x:c r="B102" s="24" t="str">
        <x:v>PC01</x:v>
      </x:c>
      <x:c r="C102" s="24" t="str">
        <x:v>S101_PC01.jpeg</x:v>
      </x:c>
      <x:c r="D102" s="24" t="str">
        <x:v>images/picture_completion/S101_PC01.jpeg</x:v>
      </x:c>
      <x:c r="E102" s="24" t="n">
        <x:v>4</x:v>
      </x:c>
      <x:c r="F102" s="24" t="n">
        <x:v>5</x:v>
      </x:c>
      <x:c r="G102" s="24" t="n">
        <x:v>4</x:v>
      </x:c>
      <x:c r="H102" s="24" t="n">
        <x:v>4</x:v>
      </x:c>
      <x:c r="I102" s="24" t="n">
        <x:f>SUM(E102:H102)</x:f>
        <x:v>17</x:v>
      </x:c>
      <x:c r="J102" s="25" t="n">
        <x:f>AVERAGE(E102:H102)</x:f>
        <x:v>4.25</x:v>
      </x:c>
      <x:c r="K102" s="24" t="str">
        <x:v>train</x:v>
      </x:c>
      <x:c r="L102" s="24" t="str">
        <x:v>Smiling sun with multicolored rays and background motifs</x:v>
      </x:c>
      <x:c r="M102" s="24" t="str">
        <x:v>sun-character scene transformation</x:v>
      </x:c>
      <x:c r="N102" s="24" t="str">
        <x:v>assistant_preliminary_visual_review</x:v>
      </x:c>
      <x:c r="O102" s="24" t="str">
        <x:v>NEEDS_HUMAN_VALIDATION_BEFORE_FINAL_RESEARCH_MODEL</x:v>
      </x:c>
    </x:row>
    <x:row r="103">
      <x:c r="A103" s="24" t="str">
        <x:v>S102</x:v>
      </x:c>
      <x:c r="B103" s="24" t="str">
        <x:v>PC01</x:v>
      </x:c>
      <x:c r="C103" s="24" t="str">
        <x:v>S102_PC01.jpeg</x:v>
      </x:c>
      <x:c r="D103" s="24" t="str">
        <x:v>images/picture_completion/S102_PC01.jpeg</x:v>
      </x:c>
      <x:c r="E103" s="24" t="n">
        <x:v>3</x:v>
      </x:c>
      <x:c r="F103" s="24" t="n">
        <x:v>4</x:v>
      </x:c>
      <x:c r="G103" s="24" t="n">
        <x:v>3</x:v>
      </x:c>
      <x:c r="H103" s="24" t="n">
        <x:v>3</x:v>
      </x:c>
      <x:c r="I103" s="24" t="n">
        <x:f>SUM(E103:H103)</x:f>
        <x:v>13</x:v>
      </x:c>
      <x:c r="J103" s="25" t="n">
        <x:f>AVERAGE(E103:H103)</x:f>
        <x:v>3.25</x:v>
      </x:c>
      <x:c r="K103" s="24" t="str">
        <x:v>train</x:v>
      </x:c>
      <x:c r="L103" s="24" t="str">
        <x:v>Flower or sunflower-like form in a simple landscape</x:v>
      </x:c>
      <x:c r="M103" s="24" t="str">
        <x:v>flower/plant transformation</x:v>
      </x:c>
      <x:c r="N103" s="24" t="str">
        <x:v>assistant_preliminary_visual_review</x:v>
      </x:c>
      <x:c r="O103" s="24" t="str">
        <x:v>NEEDS_HUMAN_VALIDATION_BEFORE_FINAL_RESEARCH_MODEL</x:v>
      </x:c>
    </x:row>
    <x:row r="104">
      <x:c r="A104" s="24" t="str">
        <x:v>S103</x:v>
      </x:c>
      <x:c r="B104" s="24" t="str">
        <x:v>PC01</x:v>
      </x:c>
      <x:c r="C104" s="24" t="str">
        <x:v>S103_PC01.jpeg</x:v>
      </x:c>
      <x:c r="D104" s="24" t="str">
        <x:v>images/picture_completion/S103_PC01.jpeg</x:v>
      </x:c>
      <x:c r="E104" s="24" t="n">
        <x:v>5</x:v>
      </x:c>
      <x:c r="F104" s="24" t="n">
        <x:v>5</x:v>
      </x:c>
      <x:c r="G104" s="24" t="n">
        <x:v>5</x:v>
      </x:c>
      <x:c r="H104" s="24" t="n">
        <x:v>5</x:v>
      </x:c>
      <x:c r="I104" s="24" t="n">
        <x:f>SUM(E104:H104)</x:f>
        <x:v>20</x:v>
      </x:c>
      <x:c r="J104" s="25" t="n">
        <x:f>AVERAGE(E104:H104)</x:f>
        <x:v>5</x:v>
      </x:c>
      <x:c r="K104" s="24" t="str">
        <x:v>train</x:v>
      </x:c>
      <x:c r="L104" s="24" t="str">
        <x:v>Fantasy garden or decorated ice-cream-cone scene</x:v>
      </x:c>
      <x:c r="M104" s="24" t="str">
        <x:v>fantasy object-in-scene transformation</x:v>
      </x:c>
      <x:c r="N104" s="24" t="str">
        <x:v>assistant_preliminary_visual_review</x:v>
      </x:c>
      <x:c r="O104" s="24" t="str">
        <x:v>NEEDS_HUMAN_VALIDATION_BEFORE_FINAL_RESEARCH_MODEL</x:v>
      </x:c>
    </x:row>
    <x:row r="105">
      <x:c r="A105" s="24" t="str">
        <x:v>S104</x:v>
      </x:c>
      <x:c r="B105" s="24" t="str">
        <x:v>PC01</x:v>
      </x:c>
      <x:c r="C105" s="24" t="str">
        <x:v>S104_PC01.jpeg</x:v>
      </x:c>
      <x:c r="D105" s="24" t="str">
        <x:v>images/picture_completion/S104_PC01.jpeg</x:v>
      </x:c>
      <x:c r="E105" s="24" t="n">
        <x:v>4</x:v>
      </x:c>
      <x:c r="F105" s="24" t="n">
        <x:v>4</x:v>
      </x:c>
      <x:c r="G105" s="24" t="n">
        <x:v>4</x:v>
      </x:c>
      <x:c r="H105" s="24" t="n">
        <x:v>4</x:v>
      </x:c>
      <x:c r="I105" s="24" t="n">
        <x:f>SUM(E105:H105)</x:f>
        <x:v>16</x:v>
      </x:c>
      <x:c r="J105" s="25" t="n">
        <x:f>AVERAGE(E105:H105)</x:f>
        <x:v>4</x:v>
      </x:c>
      <x:c r="K105" s="24" t="str">
        <x:v>validation</x:v>
      </x:c>
      <x:c r="L105" s="24" t="str">
        <x:v>Smiling sun above a small garden or village scene</x:v>
      </x:c>
      <x:c r="M105" s="24" t="str">
        <x:v>sun-and-landscape transformation</x:v>
      </x:c>
      <x:c r="N105" s="24" t="str">
        <x:v>assistant_preliminary_visual_review</x:v>
      </x:c>
      <x:c r="O105" s="24" t="str">
        <x:v>NEEDS_HUMAN_VALIDATION_BEFORE_FINAL_RESEARCH_MODEL</x:v>
      </x:c>
    </x:row>
    <x:row r="106">
      <x:c r="A106" s="24" t="str">
        <x:v>S105</x:v>
      </x:c>
      <x:c r="B106" s="24" t="str">
        <x:v>PC01</x:v>
      </x:c>
      <x:c r="C106" s="24" t="str">
        <x:v>S105_PC01.jpeg</x:v>
      </x:c>
      <x:c r="D106" s="24" t="str">
        <x:v>images/picture_completion/S105_PC01.jpeg</x:v>
      </x:c>
      <x:c r="E106" s="24" t="n">
        <x:v>4</x:v>
      </x:c>
      <x:c r="F106" s="24" t="n">
        <x:v>5</x:v>
      </x:c>
      <x:c r="G106" s="24" t="n">
        <x:v>5</x:v>
      </x:c>
      <x:c r="H106" s="24" t="n">
        <x:v>5</x:v>
      </x:c>
      <x:c r="I106" s="24" t="n">
        <x:f>SUM(E106:H106)</x:f>
        <x:v>19</x:v>
      </x:c>
      <x:c r="J106" s="25" t="n">
        <x:f>AVERAGE(E106:H106)</x:f>
        <x:v>4.75</x:v>
      </x:c>
      <x:c r="K106" s="24" t="str">
        <x:v>train</x:v>
      </x:c>
      <x:c r="L106" s="24" t="str">
        <x:v>Decorative sun with heart-patterned rays and sky symbols</x:v>
      </x:c>
      <x:c r="M106" s="24" t="str">
        <x:v>decorative sun-character transformation</x:v>
      </x:c>
      <x:c r="N106" s="24" t="str">
        <x:v>assistant_preliminary_visual_review</x:v>
      </x:c>
      <x:c r="O106" s="24" t="str">
        <x:v>NEEDS_HUMAN_VALIDATION_BEFORE_FINAL_RESEARCH_MODEL</x:v>
      </x:c>
    </x:row>
    <x:row r="107">
      <x:c r="A107" s="24" t="str">
        <x:v>S106</x:v>
      </x:c>
      <x:c r="B107" s="24" t="str">
        <x:v>PC01</x:v>
      </x:c>
      <x:c r="C107" s="24" t="str">
        <x:v>S106_PC01.jpeg</x:v>
      </x:c>
      <x:c r="D107" s="24" t="str">
        <x:v>images/picture_completion/S106_PC01.jpeg</x:v>
      </x:c>
      <x:c r="E107" s="24" t="n">
        <x:v>4</x:v>
      </x:c>
      <x:c r="F107" s="24" t="n">
        <x:v>4</x:v>
      </x:c>
      <x:c r="G107" s="24" t="n">
        <x:v>4</x:v>
      </x:c>
      <x:c r="H107" s="24" t="n">
        <x:v>4</x:v>
      </x:c>
      <x:c r="I107" s="24" t="n">
        <x:f>SUM(E107:H107)</x:f>
        <x:v>16</x:v>
      </x:c>
      <x:c r="J107" s="25" t="n">
        <x:f>AVERAGE(E107:H107)</x:f>
        <x:v>4</x:v>
      </x:c>
      <x:c r="K107" s="24" t="str">
        <x:v>train</x:v>
      </x:c>
      <x:c r="L107" s="24" t="str">
        <x:v>Colorful flower character with rainbow and surrounding symbols</x:v>
      </x:c>
      <x:c r="M107" s="24" t="str">
        <x:v>flower-character scene transformation</x:v>
      </x:c>
      <x:c r="N107" s="24" t="str">
        <x:v>assistant_preliminary_visual_review</x:v>
      </x:c>
      <x:c r="O107" s="24" t="str">
        <x:v>NEEDS_HUMAN_VALIDATION_BEFORE_FINAL_RESEARCH_MODEL</x:v>
      </x:c>
    </x:row>
    <x:row r="108">
      <x:c r="A108" s="24" t="str">
        <x:v>S107</x:v>
      </x:c>
      <x:c r="B108" s="24" t="str">
        <x:v>PC01</x:v>
      </x:c>
      <x:c r="C108" s="24" t="str">
        <x:v>S107_PC01.jpeg</x:v>
      </x:c>
      <x:c r="D108" s="24" t="str">
        <x:v>images/picture_completion/S107_PC01.jpeg</x:v>
      </x:c>
      <x:c r="E108" s="24" t="n">
        <x:v>2</x:v>
      </x:c>
      <x:c r="F108" s="24" t="n">
        <x:v>3</x:v>
      </x:c>
      <x:c r="G108" s="24" t="n">
        <x:v>3</x:v>
      </x:c>
      <x:c r="H108" s="24" t="n">
        <x:v>2</x:v>
      </x:c>
      <x:c r="I108" s="24" t="n">
        <x:f>SUM(E108:H108)</x:f>
        <x:v>10</x:v>
      </x:c>
      <x:c r="J108" s="25" t="n">
        <x:f>AVERAGE(E108:H108)</x:f>
        <x:v>2.5</x:v>
      </x:c>
      <x:c r="K108" s="24" t="str">
        <x:v>validation</x:v>
      </x:c>
      <x:c r="L108" s="24" t="str">
        <x:v>Simple smiling sun against a blue sky</x:v>
      </x:c>
      <x:c r="M108" s="24" t="str">
        <x:v>sun transformation</x:v>
      </x:c>
      <x:c r="N108" s="24" t="str">
        <x:v>assistant_preliminary_visual_review</x:v>
      </x:c>
      <x:c r="O108" s="24" t="str">
        <x:v>NEEDS_HUMAN_VALIDATION_BEFORE_FINAL_RESEARCH_MODEL</x:v>
      </x:c>
    </x:row>
    <x:row r="109">
      <x:c r="A109" s="24" t="str">
        <x:v>S108</x:v>
      </x:c>
      <x:c r="B109" s="24" t="str">
        <x:v>PC01</x:v>
      </x:c>
      <x:c r="C109" s="24" t="str">
        <x:v>S108_PC01.jpeg</x:v>
      </x:c>
      <x:c r="D109" s="24" t="str">
        <x:v>images/picture_completion/S108_PC01.jpeg</x:v>
      </x:c>
      <x:c r="E109" s="24" t="n">
        <x:v>2</x:v>
      </x:c>
      <x:c r="F109" s="24" t="n">
        <x:v>3</x:v>
      </x:c>
      <x:c r="G109" s="24" t="n">
        <x:v>3</x:v>
      </x:c>
      <x:c r="H109" s="24" t="n">
        <x:v>2</x:v>
      </x:c>
      <x:c r="I109" s="24" t="n">
        <x:f>SUM(E109:H109)</x:f>
        <x:v>10</x:v>
      </x:c>
      <x:c r="J109" s="25" t="n">
        <x:f>AVERAGE(E109:H109)</x:f>
        <x:v>2.5</x:v>
      </x:c>
      <x:c r="K109" s="24" t="str">
        <x:v>validation</x:v>
      </x:c>
      <x:c r="L109" s="24" t="str">
        <x:v>Sun with dense rays in a fully colored blue sky</x:v>
      </x:c>
      <x:c r="M109" s="24" t="str">
        <x:v>sun transformation</x:v>
      </x:c>
      <x:c r="N109" s="24" t="str">
        <x:v>assistant_preliminary_visual_review</x:v>
      </x:c>
      <x:c r="O109" s="24" t="str">
        <x:v>NEEDS_HUMAN_VALIDATION_BEFORE_FINAL_RESEARCH_MODEL</x:v>
      </x:c>
    </x:row>
    <x:row r="110">
      <x:c r="A110" s="24" t="str">
        <x:v>S109</x:v>
      </x:c>
      <x:c r="B110" s="24" t="str">
        <x:v>PC01</x:v>
      </x:c>
      <x:c r="C110" s="24" t="str">
        <x:v>S109_PC01.jpeg</x:v>
      </x:c>
      <x:c r="D110" s="24" t="str">
        <x:v>images/picture_completion/S109_PC01.jpeg</x:v>
      </x:c>
      <x:c r="E110" s="24" t="n">
        <x:v>4</x:v>
      </x:c>
      <x:c r="F110" s="24" t="n">
        <x:v>5</x:v>
      </x:c>
      <x:c r="G110" s="24" t="n">
        <x:v>5</x:v>
      </x:c>
      <x:c r="H110" s="24" t="n">
        <x:v>5</x:v>
      </x:c>
      <x:c r="I110" s="24" t="n">
        <x:f>SUM(E110:H110)</x:f>
        <x:v>19</x:v>
      </x:c>
      <x:c r="J110" s="25" t="n">
        <x:f>AVERAGE(E110:H110)</x:f>
        <x:v>4.75</x:v>
      </x:c>
      <x:c r="K110" s="24" t="str">
        <x:v>validation</x:v>
      </x:c>
      <x:c r="L110" s="24" t="str">
        <x:v>Child character in a detailed outdoor scene</x:v>
      </x:c>
      <x:c r="M110" s="24" t="str">
        <x:v>human-character scene transformation</x:v>
      </x:c>
      <x:c r="N110" s="24" t="str">
        <x:v>assistant_preliminary_visual_review</x:v>
      </x:c>
      <x:c r="O110" s="24" t="str">
        <x:v>NEEDS_HUMAN_VALIDATION_BEFORE_FINAL_RESEARCH_MODEL</x:v>
      </x:c>
    </x:row>
    <x:row r="111">
      <x:c r="A111" s="24" t="str">
        <x:v>S110</x:v>
      </x:c>
      <x:c r="B111" s="24" t="str">
        <x:v>PC01</x:v>
      </x:c>
      <x:c r="C111" s="24" t="str">
        <x:v>S110_PC01.jpeg</x:v>
      </x:c>
      <x:c r="D111" s="24" t="str">
        <x:v>images/picture_completion/S110_PC01.jpeg</x:v>
      </x:c>
      <x:c r="E111" s="24" t="n">
        <x:v>5</x:v>
      </x:c>
      <x:c r="F111" s="24" t="n">
        <x:v>5</x:v>
      </x:c>
      <x:c r="G111" s="24" t="n">
        <x:v>5</x:v>
      </x:c>
      <x:c r="H111" s="24" t="n">
        <x:v>5</x:v>
      </x:c>
      <x:c r="I111" s="24" t="n">
        <x:f>SUM(E111:H111)</x:f>
        <x:v>20</x:v>
      </x:c>
      <x:c r="J111" s="25" t="n">
        <x:f>AVERAGE(E111:H111)</x:f>
        <x:v>5</x:v>
      </x:c>
      <x:c r="K111" s="24" t="str">
        <x:v>train</x:v>
      </x:c>
      <x:c r="L111" s="24" t="str">
        <x:v>Composite fantasy scene inside a bear-like circular frame</x:v>
      </x:c>
      <x:c r="M111" s="24" t="str">
        <x:v>composite scene transformation</x:v>
      </x:c>
      <x:c r="N111" s="24" t="str">
        <x:v>assistant_preliminary_visual_review</x:v>
      </x:c>
      <x:c r="O111" s="24" t="str">
        <x:v>NEEDS_HUMAN_VALIDATION_BEFORE_FINAL_RESEARCH_MODEL</x:v>
      </x:c>
    </x:row>
    <x:row r="112">
      <x:c r="A112" s="24" t="str">
        <x:v>S111</x:v>
      </x:c>
      <x:c r="B112" s="24" t="str">
        <x:v>PC01</x:v>
      </x:c>
      <x:c r="C112" s="24" t="str">
        <x:v>S111_PC01.jpeg</x:v>
      </x:c>
      <x:c r="D112" s="24" t="str">
        <x:v>images/picture_completion/S111_PC01.jpeg</x:v>
      </x:c>
      <x:c r="E112" s="24" t="n">
        <x:v>4</x:v>
      </x:c>
      <x:c r="F112" s="24" t="n">
        <x:v>4</x:v>
      </x:c>
      <x:c r="G112" s="24" t="n">
        <x:v>4</x:v>
      </x:c>
      <x:c r="H112" s="24" t="n">
        <x:v>4</x:v>
      </x:c>
      <x:c r="I112" s="24" t="n">
        <x:f>SUM(E112:H112)</x:f>
        <x:v>16</x:v>
      </x:c>
      <x:c r="J112" s="25" t="n">
        <x:f>AVERAGE(E112:H112)</x:f>
        <x:v>4</x:v>
      </x:c>
      <x:c r="K112" s="24" t="str">
        <x:v>train</x:v>
      </x:c>
      <x:c r="L112" s="24" t="str">
        <x:v>Large flower character with heart-shaped multicolored petals</x:v>
      </x:c>
      <x:c r="M112" s="24" t="str">
        <x:v>flower-character transformation</x:v>
      </x:c>
      <x:c r="N112" s="24" t="str">
        <x:v>assistant_preliminary_visual_review</x:v>
      </x:c>
      <x:c r="O112" s="24" t="str">
        <x:v>NEEDS_HUMAN_VALIDATION_BEFORE_FINAL_RESEARCH_MODEL</x:v>
      </x:c>
    </x:row>
    <x:row r="113">
      <x:c r="A113" s="24" t="str">
        <x:v>S112</x:v>
      </x:c>
      <x:c r="B113" s="24" t="str">
        <x:v>PC01</x:v>
      </x:c>
      <x:c r="C113" s="24" t="str">
        <x:v>S112_PC01.jpeg</x:v>
      </x:c>
      <x:c r="D113" s="24" t="str">
        <x:v>images/picture_completion/S112_PC01.jpeg</x:v>
      </x:c>
      <x:c r="E113" s="24" t="n">
        <x:v>3</x:v>
      </x:c>
      <x:c r="F113" s="24" t="n">
        <x:v>2</x:v>
      </x:c>
      <x:c r="G113" s="24" t="n">
        <x:v>2</x:v>
      </x:c>
      <x:c r="H113" s="24" t="n">
        <x:v>2</x:v>
      </x:c>
      <x:c r="I113" s="24" t="n">
        <x:f>SUM(E113:H113)</x:f>
        <x:v>9</x:v>
      </x:c>
      <x:c r="J113" s="25" t="n">
        <x:f>AVERAGE(E113:H113)</x:f>
        <x:v>2.25</x:v>
      </x:c>
      <x:c r="K113" s="24" t="str">
        <x:v>train</x:v>
      </x:c>
      <x:c r="L113" s="24" t="str">
        <x:v>Orange fruit-like circular object with leaf</x:v>
      </x:c>
      <x:c r="M113" s="24" t="str">
        <x:v>fruit transformation</x:v>
      </x:c>
      <x:c r="N113" s="24" t="str">
        <x:v>assistant_preliminary_visual_review</x:v>
      </x:c>
      <x:c r="O113" s="24" t="str">
        <x:v>NEEDS_HUMAN_VALIDATION_BEFORE_FINAL_RESEARCH_MODEL</x:v>
      </x:c>
    </x:row>
    <x:row r="114">
      <x:c r="A114" s="24" t="str">
        <x:v>S113</x:v>
      </x:c>
      <x:c r="B114" s="24" t="str">
        <x:v>PC01</x:v>
      </x:c>
      <x:c r="C114" s="24" t="str">
        <x:v>S113_PC01.jpeg</x:v>
      </x:c>
      <x:c r="D114" s="24" t="str">
        <x:v>images/picture_completion/S113_PC01.jpeg</x:v>
      </x:c>
      <x:c r="E114" s="24" t="n">
        <x:v>5</x:v>
      </x:c>
      <x:c r="F114" s="24" t="n">
        <x:v>5</x:v>
      </x:c>
      <x:c r="G114" s="24" t="n">
        <x:v>5</x:v>
      </x:c>
      <x:c r="H114" s="24" t="n">
        <x:v>5</x:v>
      </x:c>
      <x:c r="I114" s="24" t="n">
        <x:f>SUM(E114:H114)</x:f>
        <x:v>20</x:v>
      </x:c>
      <x:c r="J114" s="25" t="n">
        <x:f>AVERAGE(E114:H114)</x:f>
        <x:v>5</x:v>
      </x:c>
      <x:c r="K114" s="24" t="str">
        <x:v>test</x:v>
      </x:c>
      <x:c r="L114" s="24" t="str">
        <x:v>Fantasy tree and nature character scene</x:v>
      </x:c>
      <x:c r="M114" s="24" t="str">
        <x:v>fantasy nature scene transformation</x:v>
      </x:c>
      <x:c r="N114" s="24" t="str">
        <x:v>assistant_preliminary_visual_review</x:v>
      </x:c>
      <x:c r="O114" s="24" t="str">
        <x:v>NEEDS_HUMAN_VALIDATION_BEFORE_FINAL_RESEARCH_MODEL</x:v>
      </x:c>
    </x:row>
    <x:row r="115">
      <x:c r="A115" s="24" t="str">
        <x:v>S114</x:v>
      </x:c>
      <x:c r="B115" s="24" t="str">
        <x:v>PC01</x:v>
      </x:c>
      <x:c r="C115" s="24" t="str">
        <x:v>S114_PC01.jpeg</x:v>
      </x:c>
      <x:c r="D115" s="24" t="str">
        <x:v>images/picture_completion/S114_PC01.jpeg</x:v>
      </x:c>
      <x:c r="E115" s="24" t="n">
        <x:v>3</x:v>
      </x:c>
      <x:c r="F115" s="24" t="n">
        <x:v>3</x:v>
      </x:c>
      <x:c r="G115" s="24" t="n">
        <x:v>3</x:v>
      </x:c>
      <x:c r="H115" s="24" t="n">
        <x:v>3</x:v>
      </x:c>
      <x:c r="I115" s="24" t="n">
        <x:f>SUM(E115:H115)</x:f>
        <x:v>12</x:v>
      </x:c>
      <x:c r="J115" s="25" t="n">
        <x:f>AVERAGE(E115:H115)</x:f>
        <x:v>3</x:v>
      </x:c>
      <x:c r="K115" s="24" t="str">
        <x:v>train</x:v>
      </x:c>
      <x:c r="L115" s="24" t="str">
        <x:v>Green circular object in a simple outdoor landscape</x:v>
      </x:c>
      <x:c r="M115" s="24" t="str">
        <x:v>object-in-landscape transformation</x:v>
      </x:c>
      <x:c r="N115" s="24" t="str">
        <x:v>assistant_preliminary_visual_review</x:v>
      </x:c>
      <x:c r="O115" s="24" t="str">
        <x:v>NEEDS_HUMAN_VALIDATION_BEFORE_FINAL_RESEARCH_MODEL</x:v>
      </x:c>
    </x:row>
    <x:row r="116">
      <x:c r="A116" s="24" t="str">
        <x:v>S115</x:v>
      </x:c>
      <x:c r="B116" s="24" t="str">
        <x:v>PC01</x:v>
      </x:c>
      <x:c r="C116" s="24" t="str">
        <x:v>S115_PC01.jpeg</x:v>
      </x:c>
      <x:c r="D116" s="24" t="str">
        <x:v>images/picture_completion/S115_PC01.jpeg</x:v>
      </x:c>
      <x:c r="E116" s="24" t="n">
        <x:v>3</x:v>
      </x:c>
      <x:c r="F116" s="24" t="n">
        <x:v>4</x:v>
      </x:c>
      <x:c r="G116" s="24" t="n">
        <x:v>3</x:v>
      </x:c>
      <x:c r="H116" s="24" t="n">
        <x:v>3</x:v>
      </x:c>
      <x:c r="I116" s="24" t="n">
        <x:f>SUM(E116:H116)</x:f>
        <x:v>13</x:v>
      </x:c>
      <x:c r="J116" s="25" t="n">
        <x:f>AVERAGE(E116:H116)</x:f>
        <x:v>3.25</x:v>
      </x:c>
      <x:c r="K116" s="24" t="str">
        <x:v>validation</x:v>
      </x:c>
      <x:c r="L116" s="24" t="str">
        <x:v>Smiling orange sun with clouds and decorative shapes</x:v>
      </x:c>
      <x:c r="M116" s="24" t="str">
        <x:v>sun scene transformation</x:v>
      </x:c>
      <x:c r="N116" s="24" t="str">
        <x:v>assistant_preliminary_visual_review</x:v>
      </x:c>
      <x:c r="O116" s="24" t="str">
        <x:v>NEEDS_HUMAN_VALIDATION_BEFORE_FINAL_RESEARCH_MODEL</x:v>
      </x:c>
    </x:row>
    <x:row r="117">
      <x:c r="A117" s="24" t="str">
        <x:v>S116</x:v>
      </x:c>
      <x:c r="B117" s="24" t="str">
        <x:v>PC01</x:v>
      </x:c>
      <x:c r="C117" s="24" t="str">
        <x:v>S116_PC01.jpeg</x:v>
      </x:c>
      <x:c r="D117" s="24" t="str">
        <x:v>images/picture_completion/S116_PC01.jpeg</x:v>
      </x:c>
      <x:c r="E117" s="24" t="n">
        <x:v>4</x:v>
      </x:c>
      <x:c r="F117" s="24" t="n">
        <x:v>4</x:v>
      </x:c>
      <x:c r="G117" s="24" t="n">
        <x:v>4</x:v>
      </x:c>
      <x:c r="H117" s="24" t="n">
        <x:v>4</x:v>
      </x:c>
      <x:c r="I117" s="24" t="n">
        <x:f>SUM(E117:H117)</x:f>
        <x:v>16</x:v>
      </x:c>
      <x:c r="J117" s="25" t="n">
        <x:f>AVERAGE(E117:H117)</x:f>
        <x:v>4</x:v>
      </x:c>
      <x:c r="K117" s="24" t="str">
        <x:v>train</x:v>
      </x:c>
      <x:c r="L117" s="24" t="str">
        <x:v>Flower character with multicolored heart-like petals</x:v>
      </x:c>
      <x:c r="M117" s="24" t="str">
        <x:v>flower-character transformation</x:v>
      </x:c>
      <x:c r="N117" s="24" t="str">
        <x:v>assistant_preliminary_visual_review</x:v>
      </x:c>
      <x:c r="O117" s="24" t="str">
        <x:v>NEEDS_HUMAN_VALIDATION_BEFORE_FINAL_RESEARCH_MODEL</x:v>
      </x:c>
    </x:row>
    <x:row r="118">
      <x:c r="A118" s="24" t="str">
        <x:v>S117</x:v>
      </x:c>
      <x:c r="B118" s="24" t="str">
        <x:v>PC01</x:v>
      </x:c>
      <x:c r="C118" s="24" t="str">
        <x:v>S117_PC01.jpeg</x:v>
      </x:c>
      <x:c r="D118" s="24" t="str">
        <x:v>images/picture_completion/S117_PC01.jpeg</x:v>
      </x:c>
      <x:c r="E118" s="24" t="n">
        <x:v>3</x:v>
      </x:c>
      <x:c r="F118" s="24" t="n">
        <x:v>4</x:v>
      </x:c>
      <x:c r="G118" s="24" t="n">
        <x:v>3</x:v>
      </x:c>
      <x:c r="H118" s="24" t="n">
        <x:v>3</x:v>
      </x:c>
      <x:c r="I118" s="24" t="n">
        <x:f>SUM(E118:H118)</x:f>
        <x:v>13</x:v>
      </x:c>
      <x:c r="J118" s="25" t="n">
        <x:f>AVERAGE(E118:H118)</x:f>
        <x:v>3.25</x:v>
      </x:c>
      <x:c r="K118" s="24" t="str">
        <x:v>validation</x:v>
      </x:c>
      <x:c r="L118" s="24" t="str">
        <x:v>Smiling flower with long pink petals</x:v>
      </x:c>
      <x:c r="M118" s="24" t="str">
        <x:v>flower-character transformation</x:v>
      </x:c>
      <x:c r="N118" s="24" t="str">
        <x:v>assistant_preliminary_visual_review</x:v>
      </x:c>
      <x:c r="O118" s="24" t="str">
        <x:v>NEEDS_HUMAN_VALIDATION_BEFORE_FINAL_RESEARCH_MODEL</x:v>
      </x:c>
    </x:row>
    <x:row r="119">
      <x:c r="A119" s="24" t="str">
        <x:v>S118</x:v>
      </x:c>
      <x:c r="B119" s="24" t="str">
        <x:v>PC01</x:v>
      </x:c>
      <x:c r="C119" s="24" t="str">
        <x:v>S118_PC01.jpeg</x:v>
      </x:c>
      <x:c r="D119" s="24" t="str">
        <x:v>images/picture_completion/S118_PC01.jpeg</x:v>
      </x:c>
      <x:c r="E119" s="24" t="n">
        <x:v>3</x:v>
      </x:c>
      <x:c r="F119" s="24" t="n">
        <x:v>4</x:v>
      </x:c>
      <x:c r="G119" s="24" t="n">
        <x:v>3</x:v>
      </x:c>
      <x:c r="H119" s="24" t="n">
        <x:v>3</x:v>
      </x:c>
      <x:c r="I119" s="24" t="n">
        <x:f>SUM(E119:H119)</x:f>
        <x:v>13</x:v>
      </x:c>
      <x:c r="J119" s="25" t="n">
        <x:f>AVERAGE(E119:H119)</x:f>
        <x:v>3.25</x:v>
      </x:c>
      <x:c r="K119" s="24" t="str">
        <x:v>test</x:v>
      </x:c>
      <x:c r="L119" s="24" t="str">
        <x:v>Orange sun surrounded by blue cloud-like forms</x:v>
      </x:c>
      <x:c r="M119" s="24" t="str">
        <x:v>sun-and-cloud scene transformation</x:v>
      </x:c>
      <x:c r="N119" s="24" t="str">
        <x:v>assistant_preliminary_visual_review</x:v>
      </x:c>
      <x:c r="O119" s="24" t="str">
        <x:v>NEEDS_HUMAN_VALIDATION_BEFORE_FINAL_RESEARCH_MODEL</x:v>
      </x:c>
    </x:row>
    <x:row r="120">
      <x:c r="A120" s="24" t="str">
        <x:v>S119</x:v>
      </x:c>
      <x:c r="B120" s="24" t="str">
        <x:v>PC01</x:v>
      </x:c>
      <x:c r="C120" s="24" t="str">
        <x:v>S119_PC01.jpeg</x:v>
      </x:c>
      <x:c r="D120" s="24" t="str">
        <x:v>images/picture_completion/S119_PC01.jpeg</x:v>
      </x:c>
      <x:c r="E120" s="24" t="n">
        <x:v>5</x:v>
      </x:c>
      <x:c r="F120" s="24" t="n">
        <x:v>5</x:v>
      </x:c>
      <x:c r="G120" s="24" t="n">
        <x:v>5</x:v>
      </x:c>
      <x:c r="H120" s="24" t="n">
        <x:v>4</x:v>
      </x:c>
      <x:c r="I120" s="24" t="n">
        <x:f>SUM(E120:H120)</x:f>
        <x:v>19</x:v>
      </x:c>
      <x:c r="J120" s="25" t="n">
        <x:f>AVERAGE(E120:H120)</x:f>
        <x:v>4.75</x:v>
      </x:c>
      <x:c r="K120" s="24" t="str">
        <x:v>test</x:v>
      </x:c>
      <x:c r="L120" s="24" t="str">
        <x:v>Human face embedded in a multicolored flower</x:v>
      </x:c>
      <x:c r="M120" s="24" t="str">
        <x:v>portrait-flower hybrid transformation</x:v>
      </x:c>
      <x:c r="N120" s="24" t="str">
        <x:v>assistant_preliminary_visual_review</x:v>
      </x:c>
      <x:c r="O120" s="24" t="str">
        <x:v>NEEDS_HUMAN_VALIDATION_BEFORE_FINAL_RESEARCH_MODEL</x:v>
      </x:c>
    </x:row>
    <x:row r="121">
      <x:c r="A121" s="24" t="str">
        <x:v>S120</x:v>
      </x:c>
      <x:c r="B121" s="24" t="str">
        <x:v>PC01</x:v>
      </x:c>
      <x:c r="C121" s="24" t="str">
        <x:v>S120_PC01.jpeg</x:v>
      </x:c>
      <x:c r="D121" s="24" t="str">
        <x:v>images/picture_completion/S120_PC01.jpeg</x:v>
      </x:c>
      <x:c r="E121" s="24" t="n">
        <x:v>3</x:v>
      </x:c>
      <x:c r="F121" s="24" t="n">
        <x:v>3</x:v>
      </x:c>
      <x:c r="G121" s="24" t="n">
        <x:v>3</x:v>
      </x:c>
      <x:c r="H121" s="24" t="n">
        <x:v>3</x:v>
      </x:c>
      <x:c r="I121" s="24" t="n">
        <x:f>SUM(E121:H121)</x:f>
        <x:v>12</x:v>
      </x:c>
      <x:c r="J121" s="25" t="n">
        <x:f>AVERAGE(E121:H121)</x:f>
        <x:v>3</x:v>
      </x:c>
      <x:c r="K121" s="24" t="str">
        <x:v>train</x:v>
      </x:c>
      <x:c r="L121" s="24" t="str">
        <x:v>Large flower with blue center and pink petals</x:v>
      </x:c>
      <x:c r="M121" s="24" t="str">
        <x:v>flower transformation</x:v>
      </x:c>
      <x:c r="N121" s="24" t="str">
        <x:v>assistant_preliminary_visual_review</x:v>
      </x:c>
      <x:c r="O121" s="24" t="str">
        <x:v>NEEDS_HUMAN_VALIDATION_BEFORE_FINAL_RESEARCH_MODEL</x:v>
      </x:c>
    </x:row>
    <x:row r="122">
      <x:c r="A122" s="24" t="str">
        <x:v>S121</x:v>
      </x:c>
      <x:c r="B122" s="24" t="str">
        <x:v>PC01</x:v>
      </x:c>
      <x:c r="C122" s="24" t="str">
        <x:v>S121_PC01.jpeg</x:v>
      </x:c>
      <x:c r="D122" s="24" t="str">
        <x:v>images/picture_completion/S121_PC01.jpeg</x:v>
      </x:c>
      <x:c r="E122" s="24" t="n">
        <x:v>4</x:v>
      </x:c>
      <x:c r="F122" s="24" t="n">
        <x:v>4</x:v>
      </x:c>
      <x:c r="G122" s="24" t="n">
        <x:v>4</x:v>
      </x:c>
      <x:c r="H122" s="24" t="n">
        <x:v>4</x:v>
      </x:c>
      <x:c r="I122" s="24" t="n">
        <x:f>SUM(E122:H122)</x:f>
        <x:v>16</x:v>
      </x:c>
      <x:c r="J122" s="25" t="n">
        <x:f>AVERAGE(E122:H122)</x:f>
        <x:v>4</x:v>
      </x:c>
      <x:c r="K122" s="24" t="str">
        <x:v>train</x:v>
      </x:c>
      <x:c r="L122" s="24" t="str">
        <x:v>Bear-like animal character with large body and decorative background</x:v>
      </x:c>
      <x:c r="M122" s="24" t="str">
        <x:v>animal-character transformation</x:v>
      </x:c>
      <x:c r="N122" s="24" t="str">
        <x:v>assistant_preliminary_visual_review</x:v>
      </x:c>
      <x:c r="O122" s="24" t="str">
        <x:v>NEEDS_HUMAN_VALIDATION_BEFORE_FINAL_RESEARCH_MODEL</x:v>
      </x:c>
    </x:row>
  </x:sheetData>
  <x:conditionalFormatting sqref="E2:H12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f839404f62e4509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5" hidden="0" customWidth="1"/>
    <x:col min="4" max="4" width="42" hidden="0" customWidth="1"/>
    <x:col min="5" max="5" width="28" hidden="0" customWidth="1"/>
    <x:col min="6" max="6" width="24" hidden="0" customWidth="1"/>
    <x:col min="7" max="7" width="16" hidden="0" customWidth="1"/>
    <x:col min="8" max="8" width="16" hidden="0" customWidth="1"/>
    <x:col min="9" max="9" width="55" hidden="0" customWidth="1"/>
  </x:cols>
  <x:sheetData>
    <x:row r="1">
      <x:c r="A1" s="16" t="str">
        <x:v>student_id</x:v>
      </x:c>
      <x:c r="B1" s="16" t="str">
        <x:v>drawing</x:v>
      </x:c>
      <x:c r="C1" s="16" t="str">
        <x:v>interpreted_subject</x:v>
      </x:c>
      <x:c r="D1" s="16" t="str">
        <x:v>observable_elements</x:v>
      </x:c>
      <x:c r="E1" s="16" t="str">
        <x:v>transformation_type</x:v>
      </x:c>
      <x:c r="F1" s="16" t="str">
        <x:v>colors_observed</x:v>
      </x:c>
      <x:c r="G1" s="16" t="str">
        <x:v>O / E / I / F</x:v>
      </x:c>
      <x:c r="H1" s="16" t="str">
        <x:v>total / mean</x:v>
      </x:c>
      <x:c r="I1" s="16" t="str">
        <x:v>analysis_note</x:v>
      </x:c>
    </x:row>
    <x:row r="2" ht="82.5" customHeight="1">
      <x:c r="A2" s="24" t="str">
        <x:v>S001</x:v>
      </x:c>
      <x:c r="B2" s="24" t="str"/>
      <x:c r="C2" s="24" t="str">
        <x:v>Rabbit-like animal</x:v>
      </x:c>
      <x:c r="D2" s="24" t="str">
        <x:v>Circle used as body; head, long ears, eyes, nose and limbs added</x:v>
      </x:c>
      <x:c r="E2" s="24" t="str">
        <x:v>animal transformation</x:v>
      </x:c>
      <x:c r="F2" s="24" t="str">
        <x:v>brown</x:v>
      </x:c>
      <x:c r="G2" s="24" t="str">
        <x:v>5 / 4 / 4 / 3</x:v>
      </x:c>
      <x:c r="H2" s="24" t="str">
        <x:v>16 / 4.00</x:v>
      </x:c>
      <x:c r="I2" s="24" t="str">
        <x:v>Highly distinctive within this sample: the circle is transformed into a rabbit-like animal. Several meaningful additions (head, long ears, face and limbs). Flexibility score is only a single-picture proxy.</x:v>
      </x:c>
    </x:row>
    <x:row r="3" ht="82.5" customHeight="1">
      <x:c r="A3" s="24" t="str">
        <x:v>S002</x:v>
      </x:c>
      <x:c r="B3" s="24" t="str"/>
      <x:c r="C3" s="24" t="str">
        <x:v>Two-tone face or character</x:v>
      </x:c>
      <x:c r="D3" s="24" t="str">
        <x:v>Circle becomes face with dark half, eyes and mouth</x:v>
      </x:c>
      <x:c r="E3" s="24" t="str">
        <x:v>contrasting face design</x:v>
      </x:c>
      <x:c r="F3" s="24" t="str">
        <x:v>yellow; black; orange; red</x:v>
      </x:c>
      <x:c r="G3" s="24" t="str">
        <x:v>4 / 3 / 3 / 2</x:v>
      </x:c>
      <x:c r="H3" s="24" t="str">
        <x:v>12 / 3.00</x:v>
      </x:c>
      <x:c r="I3" s="24" t="str">
        <x:v>Distinctive split-color face/character with strong contrast. Moderate facial detail and transformation. Flexibility cannot be properly established from one response.</x:v>
      </x:c>
    </x:row>
    <x:row r="4" ht="82.5" customHeight="1">
      <x:c r="A4" s="24" t="str">
        <x:v>S003</x:v>
      </x:c>
      <x:c r="B4" s="24" t="str"/>
      <x:c r="C4" s="24" t="str">
        <x:v>Complex scene inside circle</x:v>
      </x:c>
      <x:c r="D4" s="24" t="str">
        <x:v>Several overlapping colored shapes and small figures or objects within circle; exact objects unclear</x:v>
      </x:c>
      <x:c r="E4" s="24" t="str">
        <x:v>scene construction</x:v>
      </x:c>
      <x:c r="F4" s="24" t="str">
        <x:v>pink; orange; yellow; blue; green; purple</x:v>
      </x:c>
      <x:c r="G4" s="24" t="str">
        <x:v>5 / 5 / 5 / 4</x:v>
      </x:c>
      <x:c r="H4" s="24" t="str">
        <x:v>19 / 4.75</x:v>
      </x:c>
      <x:c r="I4" s="24" t="str">
        <x:v>Most complex and unusual response in this 10-image sample, with several elements, layered colors and scene-like construction. Exact objects should be confirmed by the child/teacher.</x:v>
      </x:c>
    </x:row>
    <x:row r="5" ht="82.5" customHeight="1">
      <x:c r="A5" s="24" t="str">
        <x:v>S004</x:v>
      </x:c>
      <x:c r="B5" s="24" t="str"/>
      <x:c r="C5" s="24" t="str">
        <x:v>Sun with face</x:v>
      </x:c>
      <x:c r="D5" s="24" t="str">
        <x:v>Pointed rays surround circle; two eyes and open mouth</x:v>
      </x:c>
      <x:c r="E5" s="24" t="str">
        <x:v>sun-face transformation</x:v>
      </x:c>
      <x:c r="F5" s="24" t="str">
        <x:v>yellow; orange; black; red</x:v>
      </x:c>
      <x:c r="G5" s="24" t="str">
        <x:v>2 / 4 / 3 / 2</x:v>
      </x:c>
      <x:c r="H5" s="24" t="str">
        <x:v>11 / 2.75</x:v>
      </x:c>
      <x:c r="I5" s="24" t="str">
        <x:v>Sun-face is a common idea in this sample, lowering originality. Good elaboration through rays, eyes and mouth. Moderate imaginative transformation.</x:v>
      </x:c>
    </x:row>
    <x:row r="6" ht="82.5" customHeight="1">
      <x:c r="A6" s="24" t="str">
        <x:v>S005</x:v>
      </x:c>
      <x:c r="B6" s="24" t="str"/>
      <x:c r="C6" s="24" t="str">
        <x:v>Face or character</x:v>
      </x:c>
      <x:c r="D6" s="24" t="str">
        <x:v>Circle contains face-like details; lower dark region</x:v>
      </x:c>
      <x:c r="E6" s="24" t="str">
        <x:v>character or face transformation</x:v>
      </x:c>
      <x:c r="F6" s="24" t="str">
        <x:v>red; black; orange</x:v>
      </x:c>
      <x:c r="G6" s="24" t="str">
        <x:v>3 / 3 / 3 / 2</x:v>
      </x:c>
      <x:c r="H6" s="24" t="str">
        <x:v>11 / 2.75</x:v>
      </x:c>
      <x:c r="I6" s="24" t="str">
        <x:v>Face/character interpretation with strong red-black contrast and several facial/foreground details. Idea category is not rare in this sample.</x:v>
      </x:c>
    </x:row>
    <x:row r="7" ht="82.5" customHeight="1">
      <x:c r="A7" s="24" t="str">
        <x:v>S006</x:v>
      </x:c>
      <x:c r="B7" s="24" t="str"/>
      <x:c r="C7" s="24" t="str">
        <x:v>Blue face or character</x:v>
      </x:c>
      <x:c r="D7" s="24" t="str">
        <x:v>Blue circular face with simple dark facial marks; faint additional sketch outside</x:v>
      </x:c>
      <x:c r="E7" s="24" t="str">
        <x:v>face transformation</x:v>
      </x:c>
      <x:c r="F7" s="24" t="str">
        <x:v>blue; black</x:v>
      </x:c>
      <x:c r="G7" s="24" t="str">
        <x:v>3 / 2 / 2 / 2</x:v>
      </x:c>
      <x:c r="H7" s="24" t="str">
        <x:v>9 / 2.25</x:v>
      </x:c>
      <x:c r="I7" s="24" t="str">
        <x:v>Simple blue face/character with limited added detail. Blue palette is visually distinctive, but the structural transformation is relatively simple.</x:v>
      </x:c>
    </x:row>
    <x:row r="8" ht="82.5" customHeight="1">
      <x:c r="A8" s="24" t="str">
        <x:v>S007</x:v>
      </x:c>
      <x:c r="B8" s="24" t="str"/>
      <x:c r="C8" s="24" t="str">
        <x:v>Sun-like smiling character</x:v>
      </x:c>
      <x:c r="D8" s="24" t="str">
        <x:v>Circular yellow face with several curved rays/extensions and facial details</x:v>
      </x:c>
      <x:c r="E8" s="24" t="str">
        <x:v>sun-face transformation</x:v>
      </x:c>
      <x:c r="F8" s="24" t="str">
        <x:v>yellow; black</x:v>
      </x:c>
      <x:c r="G8" s="24" t="str">
        <x:v>2 / 3 / 3 / 2</x:v>
      </x:c>
      <x:c r="H8" s="24" t="str">
        <x:v>10 / 2.50</x:v>
      </x:c>
      <x:c r="I8" s="24" t="str">
        <x:v>Sun-like character is a repeated theme in the sample. Curved extensions and facial features provide moderate elaboration.</x:v>
      </x:c>
    </x:row>
    <x:row r="9" ht="82.5" customHeight="1">
      <x:c r="A9" s="24" t="str">
        <x:v>S008</x:v>
      </x:c>
      <x:c r="B9" s="24" t="str"/>
      <x:c r="C9" s="24" t="str">
        <x:v>Blue-and-gold sun or character</x:v>
      </x:c>
      <x:c r="D9" s="24" t="str">
        <x:v>Blue face inside circle; many golden rays; purple facial marks</x:v>
      </x:c>
      <x:c r="E9" s="24" t="str">
        <x:v>unconventional sun color scheme</x:v>
      </x:c>
      <x:c r="F9" s="24" t="str">
        <x:v>blue; golden yellow; purple; green</x:v>
      </x:c>
      <x:c r="G9" s="24" t="str">
        <x:v>4 / 4 / 4 / 3</x:v>
      </x:c>
      <x:c r="H9" s="24" t="str">
        <x:v>15 / 3.75</x:v>
      </x:c>
      <x:c r="I9" s="24" t="str">
        <x:v>Unusual blue-and-gold sun/character compared with the other sun responses. Many rays and facial marks add detail; color choice increases distinctiveness.</x:v>
      </x:c>
    </x:row>
    <x:row r="10" ht="82.5" customHeight="1">
      <x:c r="A10" s="24" t="str">
        <x:v>S009</x:v>
      </x:c>
      <x:c r="B10" s="24" t="str"/>
      <x:c r="C10" s="24" t="str">
        <x:v>Smiling sun</x:v>
      </x:c>
      <x:c r="D10" s="24" t="str">
        <x:v>Yellow circle with numerous narrow wavy rays and facial marks</x:v>
      </x:c>
      <x:c r="E10" s="24" t="str">
        <x:v>sun-face transformation</x:v>
      </x:c>
      <x:c r="F10" s="24" t="str">
        <x:v>yellow; black</x:v>
      </x:c>
      <x:c r="G10" s="24" t="str">
        <x:v>2 / 3 / 2 / 2</x:v>
      </x:c>
      <x:c r="H10" s="24" t="str">
        <x:v>9 / 2.25</x:v>
      </x:c>
      <x:c r="I10" s="24" t="str">
        <x:v>Smiling sun is a common theme in this sample. Numerous wavy rays add detail, but the core idea is conventional relative to peers.</x:v>
      </x:c>
    </x:row>
    <x:row r="11" ht="82.5" customHeight="1">
      <x:c r="A11" s="24" t="str">
        <x:v>S010</x:v>
      </x:c>
      <x:c r="B11" s="24" t="str"/>
      <x:c r="C11" s="24" t="str">
        <x:v>Sun with face</x:v>
      </x:c>
      <x:c r="D11" s="24" t="str">
        <x:v>Yellow circular face with triangular orange rays, eyes, nose and mouth</x:v>
      </x:c>
      <x:c r="E11" s="24" t="str">
        <x:v>sun-face transformation</x:v>
      </x:c>
      <x:c r="F11" s="24" t="str">
        <x:v>yellow; orange; black</x:v>
      </x:c>
      <x:c r="G11" s="24" t="str">
        <x:v>2 / 4 / 3 / 2</x:v>
      </x:c>
      <x:c r="H11" s="24" t="str">
        <x:v>11 / 2.75</x:v>
      </x:c>
      <x:c r="I11" s="24" t="str">
        <x:v>Common sun-face concept, but angular rays and complete facial elements give relatively strong elaboration. Originality remains lower because the category is repeated.</x:v>
      </x:c>
    </x:row>
    <x:row r="12" ht="82.5" customHeight="1">
      <x:c r="A12" s="24" t="str">
        <x:v>S011</x:v>
      </x:c>
      <x:c r="B12" s="24" t="str"/>
      <x:c r="C12" s="24" t="str">
        <x:v>Two-tone face or ball-like character</x:v>
      </x:c>
      <x:c r="D12" s="24" t="str">
        <x:v>Circle divided into orange and red halves; two dark eyes/marks and small curved facial details added</x:v>
      </x:c>
      <x:c r="E12" s="24" t="str">
        <x:v>contrasting face/character transformation</x:v>
      </x:c>
      <x:c r="F12" s="24" t="str">
        <x:v>orange; red; yellow; black</x:v>
      </x:c>
      <x:c r="G12" s="24" t="str">
        <x:v>4 / 3 / 3 / 2</x:v>
      </x:c>
      <x:c r="H12" s="24" t="str">
        <x:v>12 / 3.00</x:v>
      </x:c>
      <x:c r="I12" s="24" t="str">
        <x:v>Split-color circular character is relatively uncommon in this 20-image sample. Moderate detail and color contrast; flexibility is only a single-picture proxy.</x:v>
      </x:c>
    </x:row>
    <x:row r="13" ht="82.5" customHeight="1">
      <x:c r="A13" s="24" t="str">
        <x:v>S012</x:v>
      </x:c>
      <x:c r="B13" s="24" t="str"/>
      <x:c r="C13" s="24" t="str">
        <x:v>Smiling sun</x:v>
      </x:c>
      <x:c r="D13" s="24" t="str">
        <x:v>Large yellow circular face with smiling mouth, eyes, and many long irregular rays extending outside the circle</x:v>
      </x:c>
      <x:c r="E13" s="24" t="str">
        <x:v>sun-face transformation</x:v>
      </x:c>
      <x:c r="F13" s="24" t="str">
        <x:v>yellow; orange; black/gray</x:v>
      </x:c>
      <x:c r="G13" s="24" t="str">
        <x:v>2 / 4 / 3 / 2</x:v>
      </x:c>
      <x:c r="H13" s="24" t="str">
        <x:v>11 / 2.75</x:v>
      </x:c>
      <x:c r="I13" s="24" t="str">
        <x:v>Common sun idea lowers originality, while the extensive long rays and facial details increase elaboration.</x:v>
      </x:c>
    </x:row>
    <x:row r="14" ht="82.5" customHeight="1">
      <x:c r="A14" s="24" t="str">
        <x:v>S013</x:v>
      </x:c>
      <x:c r="B14" s="24" t="str"/>
      <x:c r="C14" s="24" t="str">
        <x:v>Sun with face</x:v>
      </x:c>
      <x:c r="D14" s="24" t="str">
        <x:v>Yellow circular face with many short triangular rays and simple facial features</x:v>
      </x:c>
      <x:c r="E14" s="24" t="str">
        <x:v>sun-face transformation</x:v>
      </x:c>
      <x:c r="F14" s="24" t="str">
        <x:v>yellow; black/gray</x:v>
      </x:c>
      <x:c r="G14" s="24" t="str">
        <x:v>2 / 3 / 2 / 2</x:v>
      </x:c>
      <x:c r="H14" s="24" t="str">
        <x:v>9 / 2.25</x:v>
      </x:c>
      <x:c r="I14" s="24" t="str">
        <x:v>The response is complete but the sun category is highly repeated. Moderate elaboration comes from the many perimeter rays.</x:v>
      </x:c>
    </x:row>
    <x:row r="15" ht="82.5" customHeight="1">
      <x:c r="A15" s="24" t="str">
        <x:v>S014</x:v>
      </x:c>
      <x:c r="B15" s="24" t="str"/>
      <x:c r="C15" s="24" t="str">
        <x:v>Sun with face</x:v>
      </x:c>
      <x:c r="D15" s="24" t="str">
        <x:v>Yellow circular face with straight red rays, two colored eyes, nose/mouth-like marks</x:v>
      </x:c>
      <x:c r="E15" s="24" t="str">
        <x:v>sun-face transformation</x:v>
      </x:c>
      <x:c r="F15" s="24" t="str">
        <x:v>yellow; red; orange; black/gray</x:v>
      </x:c>
      <x:c r="G15" s="24" t="str">
        <x:v>2 / 3 / 2 / 2</x:v>
      </x:c>
      <x:c r="H15" s="24" t="str">
        <x:v>9 / 2.25</x:v>
      </x:c>
      <x:c r="I15" s="24" t="str">
        <x:v>Common sun interpretation with moderate facial and ray details. Color variation adds some distinctiveness but not a new concept.</x:v>
      </x:c>
    </x:row>
    <x:row r="16" ht="82.5" customHeight="1">
      <x:c r="A16" s="24" t="str">
        <x:v>S015</x:v>
      </x:c>
      <x:c r="B16" s="24" t="str"/>
      <x:c r="C16" s="24" t="str">
        <x:v>Abstract spiral or circular object</x:v>
      </x:c>
      <x:c r="D16" s="24" t="str">
        <x:v>Yellow circle contains a large spiral/concentric curved form with additional small marks</x:v>
      </x:c>
      <x:c r="E16" s="24" t="str">
        <x:v>abstract transformation</x:v>
      </x:c>
      <x:c r="F16" s="24" t="str">
        <x:v>yellow; gray/black</x:v>
      </x:c>
      <x:c r="G16" s="24" t="str">
        <x:v>4 / 3 / 4 / 3</x:v>
      </x:c>
      <x:c r="H16" s="24" t="str">
        <x:v>14 / 3.50</x:v>
      </x:c>
      <x:c r="I16" s="24" t="str">
        <x:v>Abstract spiral-like use of the circle is relatively uncommon in this sample, supporting higher originality and imagination. Exact meaning needs child explanation.</x:v>
      </x:c>
    </x:row>
    <x:row r="17" ht="82.5" customHeight="1">
      <x:c r="A17" s="24" t="str">
        <x:v>S016</x:v>
      </x:c>
      <x:c r="B17" s="24" t="str"/>
      <x:c r="C17" s="24" t="str">
        <x:v>Simple face or character</x:v>
      </x:c>
      <x:c r="D17" s="24" t="str">
        <x:v>Yellow circular face with two eyes, small nose/mouth and faint sketches outside the circle</x:v>
      </x:c>
      <x:c r="E17" s="24" t="str">
        <x:v>face transformation</x:v>
      </x:c>
      <x:c r="F17" s="24" t="str">
        <x:v>yellow; black/gray</x:v>
      </x:c>
      <x:c r="G17" s="24" t="str">
        <x:v>2 / 2 / 2 / 2</x:v>
      </x:c>
      <x:c r="H17" s="24" t="str">
        <x:v>8 / 2.00</x:v>
      </x:c>
      <x:c r="I17" s="24" t="str">
        <x:v>A simple face transformation with limited added detail. The core idea is common and the outside additions are faint.</x:v>
      </x:c>
    </x:row>
    <x:row r="18" ht="82.5" customHeight="1">
      <x:c r="A18" s="24" t="str">
        <x:v>S017</x:v>
      </x:c>
      <x:c r="B18" s="24" t="str"/>
      <x:c r="C18" s="24" t="str">
        <x:v>Sun-like face</x:v>
      </x:c>
      <x:c r="D18" s="24" t="str">
        <x:v>Yellow circle with many thin straight rays around it and simple facial marks with small red/brown accents</x:v>
      </x:c>
      <x:c r="E18" s="24" t="str">
        <x:v>sun-face transformation</x:v>
      </x:c>
      <x:c r="F18" s="24" t="str">
        <x:v>yellow; gray/black; red/brown</x:v>
      </x:c>
      <x:c r="G18" s="24" t="str">
        <x:v>2 / 3 / 2 / 2</x:v>
      </x:c>
      <x:c r="H18" s="24" t="str">
        <x:v>9 / 2.25</x:v>
      </x:c>
      <x:c r="I18" s="24" t="str">
        <x:v>Common sun concept with moderate elaboration through numerous rays. Limited conceptual novelty relative to peers.</x:v>
      </x:c>
    </x:row>
    <x:row r="19" ht="82.5" customHeight="1">
      <x:c r="A19" s="24" t="str">
        <x:v>S018</x:v>
      </x:c>
      <x:c r="B19" s="24" t="str"/>
      <x:c r="C19" s="24" t="str">
        <x:v>Full human character</x:v>
      </x:c>
      <x:c r="D19" s="24" t="str">
        <x:v>Circle used as a large head; hair, eyes, mouth, torso, arms, trousers and shoes added to create a complete person</x:v>
      </x:c>
      <x:c r="E19" s="24" t="str">
        <x:v>human-character transformation</x:v>
      </x:c>
      <x:c r="F19" s="24" t="str">
        <x:v>yellow; black; pink; purple/maroon; blue; brown; orange</x:v>
      </x:c>
      <x:c r="G19" s="24" t="str">
        <x:v>5 / 5 / 4 / 3</x:v>
      </x:c>
      <x:c r="H19" s="24" t="str">
        <x:v>17 / 4.25</x:v>
      </x:c>
      <x:c r="I19" s="24" t="str">
        <x:v>One of the most elaborated and distinctive responses: the circle is integrated into a complete human figure with several clothing and body details.</x:v>
      </x:c>
    </x:row>
    <x:row r="20" ht="82.5" customHeight="1">
      <x:c r="A20" s="24" t="str">
        <x:v>S019</x:v>
      </x:c>
      <x:c r="B20" s="24" t="str"/>
      <x:c r="C20" s="24" t="str">
        <x:v>Small figure/object scene inside circle</x:v>
      </x:c>
      <x:c r="D20" s="24" t="str">
        <x:v>Yellow circle contains a small central figure or object with several tiny circular marks; exact subject is unclear</x:v>
      </x:c>
      <x:c r="E20" s="24" t="str">
        <x:v>internal scene/object transformation</x:v>
      </x:c>
      <x:c r="F20" s="24" t="str">
        <x:v>yellow; orange/brown; black/gray</x:v>
      </x:c>
      <x:c r="G20" s="24" t="str">
        <x:v>4 / 3 / 4 / 3</x:v>
      </x:c>
      <x:c r="H20" s="24" t="str">
        <x:v>14 / 3.50</x:v>
      </x:c>
      <x:c r="I20" s="24" t="str">
        <x:v>The internal scene/object approach is less common than the repeated sun responses, supporting higher preliminary originality and imagination. Meaning should be confirmed.</x:v>
      </x:c>
    </x:row>
    <x:row r="21" ht="82.5" customHeight="1">
      <x:c r="A21" s="24" t="str">
        <x:v>S020</x:v>
      </x:c>
      <x:c r="B21" s="24" t="str"/>
      <x:c r="C21" s="24" t="str">
        <x:v>Decorative sun or layered circular sun</x:v>
      </x:c>
      <x:c r="D21" s="24" t="str">
        <x:v>Circle developed into a layered sun with red outer ring, yellow inner area and many alternating pointed rays</x:v>
      </x:c>
      <x:c r="E21" s="24" t="str">
        <x:v>decorative sun transformation</x:v>
      </x:c>
      <x:c r="F21" s="24" t="str">
        <x:v>red; yellow; orange</x:v>
      </x:c>
      <x:c r="G21" s="24" t="str">
        <x:v>3 / 4 / 3 / 2</x:v>
      </x:c>
      <x:c r="H21" s="24" t="str">
        <x:v>12 / 3.00</x:v>
      </x:c>
      <x:c r="I21" s="24" t="str">
        <x:v>Although the sun concept is common, layered rings and repeated pointed rays show stronger elaboration and some stylistic distinctiveness.</x:v>
      </x:c>
    </x:row>
    <x:row r="22" ht="82.5" customHeight="1">
      <x:c r="A22" s="24" t="str">
        <x:v>S021</x:v>
      </x:c>
      <x:c r="B22" s="24" t="str"/>
      <x:c r="C22" s="24" t="str">
        <x:v>Red/orange face or character</x:v>
      </x:c>
      <x:c r="D22" s="24" t="str">
        <x:v>Circle becomes a face with red background, orange lower section, two eyes, mouth/teeth and small green nose-like detail</x:v>
      </x:c>
      <x:c r="E22" s="24" t="str">
        <x:v>face/character transformation</x:v>
      </x:c>
      <x:c r="F22" s="24" t="str">
        <x:v>red; orange; green; black</x:v>
      </x:c>
      <x:c r="G22" s="24" t="str">
        <x:v>3 / 4 / 3 / 2</x:v>
      </x:c>
      <x:c r="H22" s="24" t="str">
        <x:v>12 / 3.00</x:v>
      </x:c>
      <x:c r="I22" s="24" t="str">
        <x:v>Moderate originality within the full sample; stronger elaboration from facial details and contrasting color regions.</x:v>
      </x:c>
    </x:row>
    <x:row r="23" ht="82.5" customHeight="1">
      <x:c r="A23" s="24" t="str">
        <x:v>S022</x:v>
      </x:c>
      <x:c r="B23" s="24" t="str"/>
      <x:c r="C23" s="24" t="str">
        <x:v>Yellow-and-black face/character</x:v>
      </x:c>
      <x:c r="D23" s="24" t="str">
        <x:v>Circle becomes a face/character with large black lower side regions, two eyes and a small red mouth/mark</x:v>
      </x:c>
      <x:c r="E23" s="24" t="str">
        <x:v>contrasting face/character transformation</x:v>
      </x:c>
      <x:c r="F23" s="24" t="str">
        <x:v>yellow; black; red</x:v>
      </x:c>
      <x:c r="G23" s="24" t="str">
        <x:v>3 / 3 / 3 / 2</x:v>
      </x:c>
      <x:c r="H23" s="24" t="str">
        <x:v>11 / 2.75</x:v>
      </x:c>
      <x:c r="I23" s="24" t="str">
        <x:v>Common face concept with a distinctive black/yellow composition. Moderate detail and transformation.</x:v>
      </x:c>
    </x:row>
    <x:row r="24" ht="82.5" customHeight="1">
      <x:c r="A24" s="24" t="str">
        <x:v>S023</x:v>
      </x:c>
      <x:c r="B24" s="24" t="str"/>
      <x:c r="C24" s="24" t="str">
        <x:v>Two-tone blue-purple face</x:v>
      </x:c>
      <x:c r="D24" s="24" t="str">
        <x:v>Circle split into blue and purple areas with two colored eyes and a mouth/nose detail</x:v>
      </x:c>
      <x:c r="E24" s="24" t="str">
        <x:v>contrasting face transformation</x:v>
      </x:c>
      <x:c r="F24" s="24" t="str">
        <x:v>blue; purple; yellow; red; black</x:v>
      </x:c>
      <x:c r="G24" s="24" t="str">
        <x:v>4 / 3 / 4 / 2</x:v>
      </x:c>
      <x:c r="H24" s="24" t="str">
        <x:v>13 / 3.25</x:v>
      </x:c>
      <x:c r="I24" s="24" t="str">
        <x:v>The face category is common, but the unusual blue-purple palette raises distinctiveness and imaginative quality.</x:v>
      </x:c>
    </x:row>
    <x:row r="25" ht="82.5" customHeight="1">
      <x:c r="A25" s="24" t="str">
        <x:v>S024</x:v>
      </x:c>
      <x:c r="B25" s="24" t="str"/>
      <x:c r="C25" s="24" t="str">
        <x:v>Detailed decorated face/character</x:v>
      </x:c>
      <x:c r="D25" s="24" t="str">
        <x:v>Yellow circular face with eyes, nose/mouth and multiple decorative colored shapes or patches inside the circle</x:v>
      </x:c>
      <x:c r="E25" s="24" t="str">
        <x:v>decorated face/character transformation</x:v>
      </x:c>
      <x:c r="F25" s="24" t="str">
        <x:v>yellow; blue; pink; gray; black</x:v>
      </x:c>
      <x:c r="G25" s="24" t="str">
        <x:v>4 / 4 / 4 / 3</x:v>
      </x:c>
      <x:c r="H25" s="24" t="str">
        <x:v>15 / 3.75</x:v>
      </x:c>
      <x:c r="I25" s="24" t="str">
        <x:v>Good elaboration and imaginative detail compared with simpler face responses; exact symbolism remains uncertain.</x:v>
      </x:c>
    </x:row>
    <x:row r="26" ht="82.5" customHeight="1">
      <x:c r="A26" s="24" t="str">
        <x:v>S025</x:v>
      </x:c>
      <x:c r="B26" s="24" t="str"/>
      <x:c r="C26" s="24" t="str">
        <x:v>Simple face with tongue</x:v>
      </x:c>
      <x:c r="D26" s="24" t="str">
        <x:v>Circle becomes a face with eyes, nose, smiling mouth and a blue tongue extending downward</x:v>
      </x:c>
      <x:c r="E26" s="24" t="str">
        <x:v>face transformation</x:v>
      </x:c>
      <x:c r="F26" s="24" t="str">
        <x:v>peach/light orange; blue; black</x:v>
      </x:c>
      <x:c r="G26" s="24" t="str">
        <x:v>3 / 3 / 3 / 2</x:v>
      </x:c>
      <x:c r="H26" s="24" t="str">
        <x:v>11 / 2.75</x:v>
      </x:c>
      <x:c r="I26" s="24" t="str">
        <x:v>Common face transformation, but the tongue and small hair details add moderate elaboration.</x:v>
      </x:c>
    </x:row>
    <x:row r="27" ht="82.5" customHeight="1">
      <x:c r="A27" s="24" t="str">
        <x:v>S026</x:v>
      </x:c>
      <x:c r="B27" s="24" t="str"/>
      <x:c r="C27" s="24" t="str">
        <x:v>Orange face/character with faint external sketch</x:v>
      </x:c>
      <x:c r="D27" s="24" t="str">
        <x:v>Orange circular face with two eyes, nose/mouth-like forms and faint large outline/sketch outside the circle</x:v>
      </x:c>
      <x:c r="E27" s="24" t="str">
        <x:v>face/character transformation with external extension</x:v>
      </x:c>
      <x:c r="F27" s="24" t="str">
        <x:v>orange; blue; white; black/gray</x:v>
      </x:c>
      <x:c r="G27" s="24" t="str">
        <x:v>3 / 3 / 3 / 3</x:v>
      </x:c>
      <x:c r="H27" s="24" t="str">
        <x:v>12 / 3.00</x:v>
      </x:c>
      <x:c r="I27" s="24" t="str">
        <x:v>Moderate creativity with some evidence of extending beyond the circle; interpretation of the outside sketch is uncertain.</x:v>
      </x:c>
    </x:row>
    <x:row r="28" ht="82.5" customHeight="1">
      <x:c r="A28" s="24" t="str">
        <x:v>S027</x:v>
      </x:c>
      <x:c r="B28" s="24" t="str"/>
      <x:c r="C28" s="24" t="str">
        <x:v>Simple orange face</x:v>
      </x:c>
      <x:c r="D28" s="24" t="str">
        <x:v>Orange circle with minimal facial marks including eyes, nose and small mouth/curves</x:v>
      </x:c>
      <x:c r="E28" s="24" t="str">
        <x:v>simple face transformation</x:v>
      </x:c>
      <x:c r="F28" s="24" t="str">
        <x:v>orange; black/gray</x:v>
      </x:c>
      <x:c r="G28" s="24" t="str">
        <x:v>2 / 2 / 2 / 2</x:v>
      </x:c>
      <x:c r="H28" s="24" t="str">
        <x:v>8 / 2.00</x:v>
      </x:c>
      <x:c r="I28" s="24" t="str">
        <x:v>Simple, common face interpretation with limited elaboration and conceptual novelty.</x:v>
      </x:c>
    </x:row>
    <x:row r="29" ht="82.5" customHeight="1">
      <x:c r="A29" s="24" t="str">
        <x:v>S028</x:v>
      </x:c>
      <x:c r="B29" s="24" t="str"/>
      <x:c r="C29" s="24" t="str">
        <x:v>Yellow sun/face with faint rays and side shapes</x:v>
      </x:c>
      <x:c r="D29" s="24" t="str">
        <x:v>Yellow circle with facial features, faint radiating lines and several light circular/looped shapes outside one side</x:v>
      </x:c>
      <x:c r="E29" s="24" t="str">
        <x:v>sun-face transformation with external additions</x:v>
      </x:c>
      <x:c r="F29" s="24" t="str">
        <x:v>yellow; black/gray</x:v>
      </x:c>
      <x:c r="G29" s="24" t="str">
        <x:v>3 / 3 / 3 / 3</x:v>
      </x:c>
      <x:c r="H29" s="24" t="str">
        <x:v>12 / 3.00</x:v>
      </x:c>
      <x:c r="I29" s="24" t="str">
        <x:v>Common sun/face concept, but the extra side forms and rays show some attempt at extension beyond the basic circle.</x:v>
      </x:c>
    </x:row>
    <x:row r="30" ht="82.5" customHeight="1">
      <x:c r="A30" s="24" t="str">
        <x:v>S029</x:v>
      </x:c>
      <x:c r="B30" s="24" t="str"/>
      <x:c r="C30" s="24" t="str">
        <x:v>Yellow sun with pointed rays and face</x:v>
      </x:c>
      <x:c r="D30" s="24" t="str">
        <x:v>Yellow circular face with many large pointed rays, dark eyes and a red mouth/cheek-like mark</x:v>
      </x:c>
      <x:c r="E30" s="24" t="str">
        <x:v>sun-face transformation</x:v>
      </x:c>
      <x:c r="F30" s="24" t="str">
        <x:v>yellow; red; black</x:v>
      </x:c>
      <x:c r="G30" s="24" t="str">
        <x:v>2 / 4 / 3 / 2</x:v>
      </x:c>
      <x:c r="H30" s="24" t="str">
        <x:v>11 / 2.75</x:v>
      </x:c>
      <x:c r="I30" s="24" t="str">
        <x:v>Low originality because the sun idea is repeated often, but relatively strong elaboration through the large rays and facial details.</x:v>
      </x:c>
    </x:row>
    <x:row r="31" ht="82.5" customHeight="1">
      <x:c r="A31" s="24" t="str">
        <x:v>S030</x:v>
      </x:c>
      <x:c r="B31" s="24" t="str"/>
      <x:c r="C31" s="24" t="str">
        <x:v>Purple face/character</x:v>
      </x:c>
      <x:c r="D31" s="24" t="str">
        <x:v>Purple circular face with two dark eyes, large red mouth and a small blue triangular/nose detail</x:v>
      </x:c>
      <x:c r="E31" s="24" t="str">
        <x:v>face/character transformation</x:v>
      </x:c>
      <x:c r="F31" s="24" t="str">
        <x:v>purple; black; red; blue</x:v>
      </x:c>
      <x:c r="G31" s="24" t="str">
        <x:v>3 / 3 / 3 / 2</x:v>
      </x:c>
      <x:c r="H31" s="24" t="str">
        <x:v>11 / 2.75</x:v>
      </x:c>
      <x:c r="I31" s="24" t="str">
        <x:v>Distinctive color choice but moderate overall conceptual novelty because the face category appears frequently.</x:v>
      </x:c>
    </x:row>
    <x:row r="32" ht="82.5" customHeight="1">
      <x:c r="A32" s="24" t="str">
        <x:v>S031</x:v>
      </x:c>
      <x:c r="B32" s="24" t="str"/>
      <x:c r="C32" s="24" t="str">
        <x:v>Full human character using circle as head</x:v>
      </x:c>
      <x:c r="D32" s="24" t="str">
        <x:v>Circle used as large smiling head; full torso, arms and rectangular lower body added above it; facial features included</x:v>
      </x:c>
      <x:c r="E32" s="24" t="str">
        <x:v>human-character transformation</x:v>
      </x:c>
      <x:c r="F32" s="24" t="str">
        <x:v>yellow; pink; red; black; brown</x:v>
      </x:c>
      <x:c r="G32" s="24" t="str">
        <x:v>5 / 5 / 4 / 3</x:v>
      </x:c>
      <x:c r="H32" s="24" t="str">
        <x:v>17 / 4.25</x:v>
      </x:c>
      <x:c r="I32" s="24" t="str">
        <x:v>Strong transformation beyond the original circle and high elaboration through the complete figure. Flexibility remains a single-picture proxy.</x:v>
      </x:c>
    </x:row>
    <x:row r="33" ht="82.5" customHeight="1">
      <x:c r="A33" s="24" t="str">
        <x:v>S032</x:v>
      </x:c>
      <x:c r="B33" s="24" t="str"/>
      <x:c r="C33" s="24" t="str">
        <x:v>Character/robot-like figure with surrounding scene</x:v>
      </x:c>
      <x:c r="D33" s="24" t="str">
        <x:v>Circle becomes a large face/head attached to a dark red body-like form; extra blue and yellow shapes appear in the surrounding space</x:v>
      </x:c>
      <x:c r="E33" s="24" t="str">
        <x:v>character plus scene transformation</x:v>
      </x:c>
      <x:c r="F33" s="24" t="str">
        <x:v>yellow; dark red; red; purple; blue; black</x:v>
      </x:c>
      <x:c r="G33" s="24" t="str">
        <x:v>5 / 5 / 5 / 4</x:v>
      </x:c>
      <x:c r="H33" s="24" t="str">
        <x:v>19 / 4.75</x:v>
      </x:c>
      <x:c r="I33" s="24" t="str">
        <x:v>Richest scene-like construction in this set, with multiple external elements and clear expansion beyond the circle.</x:v>
      </x:c>
    </x:row>
    <x:row r="34" ht="82.5" customHeight="1">
      <x:c r="A34" s="24" t="str">
        <x:v>S033</x:v>
      </x:c>
      <x:c r="B34" s="24" t="str"/>
      <x:c r="C34" s="24" t="str">
        <x:v>Simple pink face</x:v>
      </x:c>
      <x:c r="D34" s="24" t="str">
        <x:v>Circle filled pink with faint facial features including eyes and curved mouth-like lines</x:v>
      </x:c>
      <x:c r="E34" s="24" t="str">
        <x:v>simple face transformation</x:v>
      </x:c>
      <x:c r="F34" s="24" t="str">
        <x:v>pink; black/gray</x:v>
      </x:c>
      <x:c r="G34" s="24" t="str">
        <x:v>2 / 2 / 2 / 2</x:v>
      </x:c>
      <x:c r="H34" s="24" t="str">
        <x:v>8 / 2.00</x:v>
      </x:c>
      <x:c r="I34" s="24" t="str">
        <x:v>Simple face concept with low elaboration and limited novelty relative to the dataset.</x:v>
      </x:c>
    </x:row>
    <x:row r="35" ht="82.5" customHeight="1">
      <x:c r="A35" s="24" t="str">
        <x:v>S034</x:v>
      </x:c>
      <x:c r="B35" s="24" t="str"/>
      <x:c r="C35" s="24" t="str">
        <x:v>Full human character with detailed clothing</x:v>
      </x:c>
      <x:c r="D35" s="24" t="str">
        <x:v>Circle used as a large head; hair, eyes, mouth, ears, torso, arms, clothing details and legs added to form a complete person</x:v>
      </x:c>
      <x:c r="E35" s="24" t="str">
        <x:v>human-character transformation</x:v>
      </x:c>
      <x:c r="F35" s="24" t="str">
        <x:v>skin/peach; blue; red; pink; black; green</x:v>
      </x:c>
      <x:c r="G35" s="24" t="str">
        <x:v>5 / 5 / 4 / 3</x:v>
      </x:c>
      <x:c r="H35" s="24" t="str">
        <x:v>17 / 4.25</x:v>
      </x:c>
      <x:c r="I35" s="24" t="str">
        <x:v>Strong elaboration and transformation through a full-body figure with clothing and facial details.</x:v>
      </x:c>
    </x:row>
    <x:row r="36" ht="82.5" customHeight="1">
      <x:c r="A36" s="24" t="str">
        <x:v>S035</x:v>
      </x:c>
      <x:c r="B36" s="24" t="str"/>
      <x:c r="C36" s="24" t="str">
        <x:v>Sun-like smiling face with long rays</x:v>
      </x:c>
      <x:c r="D36" s="24" t="str">
        <x:v>Yellow circular face with eyes, nose, smile and several long broad rays extending outward</x:v>
      </x:c>
      <x:c r="E36" s="24" t="str">
        <x:v>sun-face transformation</x:v>
      </x:c>
      <x:c r="F36" s="24" t="str">
        <x:v>yellow; black/gray</x:v>
      </x:c>
      <x:c r="G36" s="24" t="str">
        <x:v>2 / 3 / 3 / 2</x:v>
      </x:c>
      <x:c r="H36" s="24" t="str">
        <x:v>10 / 2.50</x:v>
      </x:c>
      <x:c r="I36" s="24" t="str">
        <x:v>Common sun concept with moderate elaboration from the large rays and face.</x:v>
      </x:c>
    </x:row>
    <x:row r="37" ht="82.5" customHeight="1">
      <x:c r="A37" s="24" t="str">
        <x:v>S036</x:v>
      </x:c>
      <x:c r="B37" s="24" t="str"/>
      <x:c r="C37" s="24" t="str">
        <x:v>Flower-like face</x:v>
      </x:c>
      <x:c r="D37" s="24" t="str">
        <x:v>Circle becomes a pink face at the center of a flower; multiple large petals in different colors surround it</x:v>
      </x:c>
      <x:c r="E37" s="24" t="str">
        <x:v>flower-character transformation</x:v>
      </x:c>
      <x:c r="F37" s="24" t="str">
        <x:v>pink; purple; yellow; brown; blue; green; orange; black</x:v>
      </x:c>
      <x:c r="G37" s="24" t="str">
        <x:v>5 / 5 / 5 / 4</x:v>
      </x:c>
      <x:c r="H37" s="24" t="str">
        <x:v>19 / 4.75</x:v>
      </x:c>
      <x:c r="I37" s="24" t="str">
        <x:v>Very strong transformation, color variety and elaboration. The flower concept is less common than the repeated face/sun responses.</x:v>
      </x:c>
    </x:row>
    <x:row r="38" ht="82.5" customHeight="1">
      <x:c r="A38" s="24" t="str">
        <x:v>S037</x:v>
      </x:c>
      <x:c r="B38" s="24" t="str"/>
      <x:c r="C38" s="24" t="str">
        <x:v>Fantasy garden/flower character scene</x:v>
      </x:c>
      <x:c r="D38" s="24" t="str">
        <x:v>Circle becomes a purple face/flower character placed in a larger scene with green leaves/grass, another purple flower, blue shapes, sun and large petal/wing forms</x:v>
      </x:c>
      <x:c r="E38" s="24" t="str">
        <x:v>scene-based character transformation</x:v>
      </x:c>
      <x:c r="F38" s="24" t="str">
        <x:v>purple; green; blue; yellow; orange; pink; black</x:v>
      </x:c>
      <x:c r="G38" s="24" t="str">
        <x:v>5 / 5 / 5 / 5</x:v>
      </x:c>
      <x:c r="H38" s="24" t="str">
        <x:v>20 / 5.00</x:v>
      </x:c>
      <x:c r="I38" s="24" t="str">
        <x:v>One of the strongest responses for scene construction, elaboration and imaginative transformation; multiple idea categories are visibly combined.</x:v>
      </x:c>
    </x:row>
    <x:row r="39" ht="82.5" customHeight="1">
      <x:c r="A39" s="24" t="str">
        <x:v>S038</x:v>
      </x:c>
      <x:c r="B39" s="24" t="str"/>
      <x:c r="C39" s="24" t="str">
        <x:v>Girl/character in outdoor or water scene</x:v>
      </x:c>
      <x:c r="D39" s="24" t="str">
        <x:v>Circle becomes a character's face with hair and facial features; surrounding scene includes blue ground/water, blue strokes, pink body/arms and a small distant object</x:v>
      </x:c>
      <x:c r="E39" s="24" t="str">
        <x:v>character-in-scene transformation</x:v>
      </x:c>
      <x:c r="F39" s="24" t="str">
        <x:v>pink; blue; brown; red; cyan; black</x:v>
      </x:c>
      <x:c r="G39" s="24" t="str">
        <x:v>5 / 5 / 5 / 4</x:v>
      </x:c>
      <x:c r="H39" s="24" t="str">
        <x:v>19 / 4.75</x:v>
      </x:c>
      <x:c r="I39" s="24" t="str">
        <x:v>Strong scene elaboration and imaginative use of the circle as part of a character rather than as a standalone face.</x:v>
      </x:c>
    </x:row>
    <x:row r="40" ht="82.5" customHeight="1">
      <x:c r="A40" s="24" t="str">
        <x:v>S039</x:v>
      </x:c>
      <x:c r="B40" s="24" t="str"/>
      <x:c r="C40" s="24" t="str">
        <x:v>Decorative sun/flower face</x:v>
      </x:c>
      <x:c r="D40" s="24" t="str">
        <x:v>Red circular face surrounded by many pointed petal/ray forms with heart-like decorations; extra cloud/rainbow-like marks appear to the side</x:v>
      </x:c>
      <x:c r="E40" s="24" t="str">
        <x:v>decorative sun-flower transformation</x:v>
      </x:c>
      <x:c r="F40" s="24" t="str">
        <x:v>red; mint/green; pink; black</x:v>
      </x:c>
      <x:c r="G40" s="24" t="str">
        <x:v>4 / 5 / 4 / 3</x:v>
      </x:c>
      <x:c r="H40" s="24" t="str">
        <x:v>16 / 4.00</x:v>
      </x:c>
      <x:c r="I40" s="24" t="str">
        <x:v>High elaboration through repeated decorated rays/petals and extra side details; originality is above average due to the motif treatment.</x:v>
      </x:c>
    </x:row>
    <x:row r="41" ht="82.5" customHeight="1">
      <x:c r="A41" s="24" t="str">
        <x:v>S040</x:v>
      </x:c>
      <x:c r="B41" s="24" t="str"/>
      <x:c r="C41" s="24" t="str">
        <x:v>Flower character in full background scene</x:v>
      </x:c>
      <x:c r="D41" s="24" t="str">
        <x:v>Circle becomes a flower-like face with purple petals; full page includes green ground/leaves and yellow background/sky</x:v>
      </x:c>
      <x:c r="E41" s="24" t="str">
        <x:v>flower-character scene transformation</x:v>
      </x:c>
      <x:c r="F41" s="24" t="str">
        <x:v>red/pink; purple; yellow; green; black</x:v>
      </x:c>
      <x:c r="G41" s="24" t="str">
        <x:v>5 / 5 / 5 / 4</x:v>
      </x:c>
      <x:c r="H41" s="24" t="str">
        <x:v>19 / 4.75</x:v>
      </x:c>
      <x:c r="I41" s="24" t="str">
        <x:v>Strong overall creativity with clear transformation, full-scene elaboration and imaginative context beyond the original circle.</x:v>
      </x:c>
    </x:row>
    <x:row r="42" ht="82.5" customHeight="1">
      <x:c r="A42" s="24" t="str">
        <x:v>S041</x:v>
      </x:c>
      <x:c r="B42" s="24" t="str"/>
      <x:c r="C42" s="24" t="str">
        <x:v>Rainbow sun/character in decorative sky scene</x:v>
      </x:c>
      <x:c r="D42" s="24" t="str">
        <x:v>Circle becomes a smiling multicolored sun/character with many pointed rays; page also includes blue clouds, rainbow motifs and pink heart-like shapes</x:v>
      </x:c>
      <x:c r="E42" s="24" t="str">
        <x:v>sun-character scene transformation</x:v>
      </x:c>
      <x:c r="F42" s="24" t="str">
        <x:v>yellow; green; red; orange; blue; pink; black</x:v>
      </x:c>
      <x:c r="G42" s="24" t="str">
        <x:v>5 / 5 / 5 / 5</x:v>
      </x:c>
      <x:c r="H42" s="24" t="str">
        <x:v>20 / 5.00</x:v>
      </x:c>
      <x:c r="I42" s="24" t="str">
        <x:v>Very strong elaboration and imaginative scene-building. Multiple different visual elements are combined around the original circle.</x:v>
      </x:c>
    </x:row>
    <x:row r="43" ht="82.5" customHeight="1">
      <x:c r="A43" s="24" t="str">
        <x:v>S042</x:v>
      </x:c>
      <x:c r="B43" s="24" t="str"/>
      <x:c r="C43" s="24" t="str">
        <x:v>Animal/character with flowers and outdoor scene</x:v>
      </x:c>
      <x:c r="D43" s="24" t="str">
        <x:v>Circle becomes a large smiling animal/character face with ears and body/clothing; surrounding page contains flowers, potted plants, a small sun and orange cloud-like shapes</x:v>
      </x:c>
      <x:c r="E43" s="24" t="str">
        <x:v>character-in-scene transformation</x:v>
      </x:c>
      <x:c r="F43" s="24" t="str">
        <x:v>yellow; pink; orange; brown; green; purple; black</x:v>
      </x:c>
      <x:c r="G43" s="24" t="str">
        <x:v>5 / 5 / 5 / 5</x:v>
      </x:c>
      <x:c r="H43" s="24" t="str">
        <x:v>20 / 5.00</x:v>
      </x:c>
      <x:c r="I43" s="24" t="str">
        <x:v>Strong scene construction, multiple object categories and extensive detail make this one of the more creative completions.</x:v>
      </x:c>
    </x:row>
    <x:row r="44" ht="82.5" customHeight="1">
      <x:c r="A44" s="24" t="str">
        <x:v>S043</x:v>
      </x:c>
      <x:c r="B44" s="24" t="str"/>
      <x:c r="C44" s="24" t="str">
        <x:v>Rabbit in garden scene</x:v>
      </x:c>
      <x:c r="D44" s="24" t="str">
        <x:v>Circle becomes a rabbit face with long ears; surrounding scene includes rabbit body, carrot, flowers, clouds and a smiling sun</x:v>
      </x:c>
      <x:c r="E44" s="24" t="str">
        <x:v>animal-in-scene transformation</x:v>
      </x:c>
      <x:c r="F44" s="24" t="str">
        <x:v>pink; red; orange; green; blue; yellow; black/gray</x:v>
      </x:c>
      <x:c r="G44" s="24" t="str">
        <x:v>5 / 5 / 5 / 5</x:v>
      </x:c>
      <x:c r="H44" s="24" t="str">
        <x:v>20 / 5.00</x:v>
      </x:c>
      <x:c r="I44" s="24" t="str">
        <x:v>Clear transformation of the circle into an animal plus several context objects demonstrates strong elaboration, imagination and visible idea variety.</x:v>
      </x:c>
    </x:row>
    <x:row r="45" ht="82.5" customHeight="1">
      <x:c r="A45" s="24" t="str">
        <x:v>S044</x:v>
      </x:c>
      <x:c r="B45" s="24" t="str"/>
      <x:c r="C45" s="24" t="str">
        <x:v>Apple-like face/fruit character</x:v>
      </x:c>
      <x:c r="D45" s="24" t="str">
        <x:v>Circle filled yellow with a small red/orange stem-like mark and simple facial features, including one open eye and one curved eye</x:v>
      </x:c>
      <x:c r="E45" s="24" t="str">
        <x:v>fruit/face transformation</x:v>
      </x:c>
      <x:c r="F45" s="24" t="str">
        <x:v>yellow; orange/red; black</x:v>
      </x:c>
      <x:c r="G45" s="24" t="str">
        <x:v>3 / 2 / 3 / 2</x:v>
      </x:c>
      <x:c r="H45" s="24" t="str">
        <x:v>10 / 2.50</x:v>
      </x:c>
      <x:c r="I45" s="24" t="str">
        <x:v>Potential fruit transformation gives moderate originality, but the drawing contains relatively few added details.</x:v>
      </x:c>
    </x:row>
    <x:row r="46" ht="82.5" customHeight="1">
      <x:c r="A46" s="24" t="str">
        <x:v>S045</x:v>
      </x:c>
      <x:c r="B46" s="24" t="str"/>
      <x:c r="C46" s="24" t="str">
        <x:v>Smiling sun in full blue-sky scene</x:v>
      </x:c>
      <x:c r="D46" s="24" t="str">
        <x:v>Circle becomes a smiling sun with many yellow rays; nearly the full page is colored blue with multiple cloud shapes and handwritten marks/text near the bottom</x:v>
      </x:c>
      <x:c r="E46" s="24" t="str">
        <x:v>sun-in-scene transformation</x:v>
      </x:c>
      <x:c r="F46" s="24" t="str">
        <x:v>yellow; blue; black</x:v>
      </x:c>
      <x:c r="G46" s="24" t="str">
        <x:v>3 / 5 / 4 / 4</x:v>
      </x:c>
      <x:c r="H46" s="24" t="str">
        <x:v>16 / 4.00</x:v>
      </x:c>
      <x:c r="I46" s="24" t="str">
        <x:v>Core sun idea is common, but the extensive background and cloud details substantially increase elaboration and imaginative context.</x:v>
      </x:c>
    </x:row>
    <x:row r="47" ht="82.5" customHeight="1">
      <x:c r="A47" s="24" t="str">
        <x:v>S046</x:v>
      </x:c>
      <x:c r="B47" s="24" t="str"/>
      <x:c r="C47" s="24" t="str">
        <x:v>Bird/water scene with second bird</x:v>
      </x:c>
      <x:c r="D47" s="24" t="str">
        <x:v>Inside the circle is a large bird-like figure near blue water lines; outside the circle a second green bird-like figure is drawn on a simple perch/line</x:v>
      </x:c>
      <x:c r="E47" s="24" t="str">
        <x:v>animal scene transformation</x:v>
      </x:c>
      <x:c r="F47" s="24" t="str">
        <x:v>green; yellow; blue; red; black/gray</x:v>
      </x:c>
      <x:c r="G47" s="24" t="str">
        <x:v>5 / 4 / 5 / 5</x:v>
      </x:c>
      <x:c r="H47" s="24" t="str">
        <x:v>19 / 4.75</x:v>
      </x:c>
      <x:c r="I47" s="24" t="str">
        <x:v>Uncommon animal-scene interpretation with relational elements inside and outside the circle supports high originality and imagination.</x:v>
      </x:c>
    </x:row>
    <x:row r="48" ht="82.5" customHeight="1">
      <x:c r="A48" s="24" t="str">
        <x:v>S047</x:v>
      </x:c>
      <x:c r="B48" s="24" t="str"/>
      <x:c r="C48" s="24" t="str">
        <x:v>Color wheel / pinwheel / lollipop-like object</x:v>
      </x:c>
      <x:c r="D48" s="24" t="str">
        <x:v>Circle is divided into several colored triangular segments around a dark center, with a long black handle/stem extending from the circle</x:v>
      </x:c>
      <x:c r="E48" s="24" t="str">
        <x:v>object transformation</x:v>
      </x:c>
      <x:c r="F48" s="24" t="str">
        <x:v>red; orange; pink; blue; yellow; green; black</x:v>
      </x:c>
      <x:c r="G48" s="24" t="str">
        <x:v>5 / 4 / 5 / 4</x:v>
      </x:c>
      <x:c r="H48" s="24" t="str">
        <x:v>18 / 4.50</x:v>
      </x:c>
      <x:c r="I48" s="24" t="str">
        <x:v>Strong structural transformation and unusual radial design make this highly original within the sample.</x:v>
      </x:c>
    </x:row>
    <x:row r="49" ht="82.5" customHeight="1">
      <x:c r="A49" s="24" t="str">
        <x:v>S048</x:v>
      </x:c>
      <x:c r="B49" s="24" t="str"/>
      <x:c r="C49" s="24" t="str">
        <x:v>Bird/peacock-like figure inside circle</x:v>
      </x:c>
      <x:c r="D49" s="24" t="str">
        <x:v>Circle contains a large green bird-like figure with a yellow head area, purple crest and visible legs/feet</x:v>
      </x:c>
      <x:c r="E49" s="24" t="str">
        <x:v>animal transformation</x:v>
      </x:c>
      <x:c r="F49" s="24" t="str">
        <x:v>green; yellow; purple; black/gray</x:v>
      </x:c>
      <x:c r="G49" s="24" t="str">
        <x:v>5 / 4 / 5 / 3</x:v>
      </x:c>
      <x:c r="H49" s="24" t="str">
        <x:v>17 / 4.25</x:v>
      </x:c>
      <x:c r="I49" s="24" t="str">
        <x:v>Uncommon animal interpretation with multiple recognizable anatomical details supports high originality and imagination.</x:v>
      </x:c>
    </x:row>
    <x:row r="50" ht="82.5" customHeight="1">
      <x:c r="A50" s="24" t="str">
        <x:v>S049</x:v>
      </x:c>
      <x:c r="B50" s="24" t="str"/>
      <x:c r="C50" s="24" t="str">
        <x:v>Simple landscape with two trees</x:v>
      </x:c>
      <x:c r="D50" s="24" t="str">
        <x:v>Circle contains two green tree-like forms with trunks/stems, green ground or foliage at one side and an orange/red ground/sky band on the opposite side</x:v>
      </x:c>
      <x:c r="E50" s="24" t="str">
        <x:v>landscape scene transformation</x:v>
      </x:c>
      <x:c r="F50" s="24" t="str">
        <x:v>green; orange/red; black/gray</x:v>
      </x:c>
      <x:c r="G50" s="24" t="str">
        <x:v>4 / 3 / 4 / 3</x:v>
      </x:c>
      <x:c r="H50" s="24" t="str">
        <x:v>14 / 3.50</x:v>
      </x:c>
      <x:c r="I50" s="24" t="str">
        <x:v>Landscape use of the circle is relatively uncommon and shows contextual imagination, though details are still limited.</x:v>
      </x:c>
    </x:row>
    <x:row r="51" ht="82.5" customHeight="1">
      <x:c r="A51" s="24" t="str">
        <x:v>S050</x:v>
      </x:c>
      <x:c r="B51" s="24" t="str"/>
      <x:c r="C51" s="24" t="str">
        <x:v>Small fruit/plant-like objects inside circle</x:v>
      </x:c>
      <x:c r="D51" s="24" t="str">
        <x:v>Circle contains several small red and green organic-looking shapes connected by curved lines; exact objects are uncertain</x:v>
      </x:c>
      <x:c r="E51" s="24" t="str">
        <x:v>small-object/plant composition</x:v>
      </x:c>
      <x:c r="F51" s="24" t="str">
        <x:v>red; green; black/gray</x:v>
      </x:c>
      <x:c r="G51" s="24" t="str">
        <x:v>4 / 3 / 4 / 3</x:v>
      </x:c>
      <x:c r="H51" s="24" t="str">
        <x:v>14 / 3.50</x:v>
      </x:c>
      <x:c r="I51" s="24" t="str">
        <x:v>The response appears to combine multiple related forms and is less conventional than a face/sun, but interpretation uncertainty limits confidence.</x:v>
      </x:c>
    </x:row>
    <x:row r="52" ht="82.5" customHeight="1">
      <x:c r="A52" s="24" t="str">
        <x:v>S051</x:v>
      </x:c>
      <x:c r="B52" s="24" t="str"/>
      <x:c r="C52" s="24" t="str">
        <x:v>Purple circular object with handle/tab</x:v>
      </x:c>
      <x:c r="D52" s="24" t="str">
        <x:v>Circle heavily filled purple with a small pink rectangular extension on one side; internal subject details are not clearly visible</x:v>
      </x:c>
      <x:c r="E52" s="24" t="str">
        <x:v>object transformation</x:v>
      </x:c>
      <x:c r="F52" s="24" t="str">
        <x:v>purple; pink; black</x:v>
      </x:c>
      <x:c r="G52" s="24" t="str">
        <x:v>4 / 2 / 3 / 2</x:v>
      </x:c>
      <x:c r="H52" s="24" t="str">
        <x:v>11 / 2.75</x:v>
      </x:c>
      <x:c r="I52" s="24" t="str">
        <x:v>The transformation is unusual within the sample, but limited visible detail reduces elaboration and interpretive certainty.</x:v>
      </x:c>
    </x:row>
    <x:row r="53" ht="82.5" customHeight="1">
      <x:c r="A53" s="24" t="str">
        <x:v>S052</x:v>
      </x:c>
      <x:c r="B53" s="24" t="str"/>
      <x:c r="C53" s="24" t="str">
        <x:v>Small blue human/character with sun</x:v>
      </x:c>
      <x:c r="D53" s="24" t="str">
        <x:v>Inside the circle is a small upright blue figure with head/body and stick-like limbs; a small yellow sun appears nearby</x:v>
      </x:c>
      <x:c r="E53" s="24" t="str">
        <x:v>character scene transformation</x:v>
      </x:c>
      <x:c r="F53" s="24" t="str">
        <x:v>blue; yellow; black/gray</x:v>
      </x:c>
      <x:c r="G53" s="24" t="str">
        <x:v>4 / 3 / 4 / 3</x:v>
      </x:c>
      <x:c r="H53" s="24" t="str">
        <x:v>14 / 3.50</x:v>
      </x:c>
      <x:c r="I53" s="24" t="str">
        <x:v>Uncommon scene composition with a separate character and sun; moderate detail and imaginative context.</x:v>
      </x:c>
    </x:row>
    <x:row r="54" ht="82.5" customHeight="1">
      <x:c r="A54" s="24" t="str">
        <x:v>S053</x:v>
      </x:c>
      <x:c r="B54" s="24" t="str"/>
      <x:c r="C54" s="24" t="str">
        <x:v>Green bus/vehicle scene</x:v>
      </x:c>
      <x:c r="D54" s="24" t="str">
        <x:v>Circle contains a green bus/vehicle with windows and wheels; blue cloud-like forms and an orange sun-like shape appear nearby</x:v>
      </x:c>
      <x:c r="E54" s="24" t="str">
        <x:v>vehicle scene transformation</x:v>
      </x:c>
      <x:c r="F54" s="24" t="str">
        <x:v>green; blue; orange; purple; black/gray</x:v>
      </x:c>
      <x:c r="G54" s="24" t="str">
        <x:v>5 / 4 / 5 / 4</x:v>
      </x:c>
      <x:c r="H54" s="24" t="str">
        <x:v>18 / 4.50</x:v>
      </x:c>
      <x:c r="I54" s="24" t="str">
        <x:v>Strong originality and imagination due to the vehicle-scene interpretation and several contextual elements.</x:v>
      </x:c>
    </x:row>
    <x:row r="55" ht="82.5" customHeight="1">
      <x:c r="A55" s="24" t="str">
        <x:v>S054</x:v>
      </x:c>
      <x:c r="B55" s="24" t="str"/>
      <x:c r="C55" s="24" t="str">
        <x:v>Family/people and buildings or rockets scene</x:v>
      </x:c>
      <x:c r="D55" s="24" t="str">
        <x:v>Circle contains two person-like figures and three tall purple-brown vertical forms; a small yellow sun appears at one side</x:v>
      </x:c>
      <x:c r="E55" s="24" t="str">
        <x:v>multi-object scene transformation</x:v>
      </x:c>
      <x:c r="F55" s="24" t="str">
        <x:v>purple; brown; yellow; black/gray</x:v>
      </x:c>
      <x:c r="G55" s="24" t="str">
        <x:v>5 / 4 / 5 / 4</x:v>
      </x:c>
      <x:c r="H55" s="24" t="str">
        <x:v>18 / 4.50</x:v>
      </x:c>
      <x:c r="I55" s="24" t="str">
        <x:v>The response combines several different elements and appears story-oriented, supporting high preliminary originality and imagination.</x:v>
      </x:c>
    </x:row>
    <x:row r="56" ht="82.5" customHeight="1">
      <x:c r="A56" s="24" t="str">
        <x:v>S055</x:v>
      </x:c>
      <x:c r="B56" s="24" t="str"/>
      <x:c r="C56" s="24" t="str">
        <x:v>Vehicle with surrounding objects/scene</x:v>
      </x:c>
      <x:c r="D56" s="24" t="str">
        <x:v>Circle contains an orange/brown vehicle-like form with wheels and additional small sketched objects above and around it</x:v>
      </x:c>
      <x:c r="E56" s="24" t="str">
        <x:v>vehicle scene transformation</x:v>
      </x:c>
      <x:c r="F56" s="24" t="str">
        <x:v>orange/brown; black/gray</x:v>
      </x:c>
      <x:c r="G56" s="24" t="str">
        <x:v>4 / 4 / 4 / 3</x:v>
      </x:c>
      <x:c r="H56" s="24" t="str">
        <x:v>15 / 3.75</x:v>
      </x:c>
      <x:c r="I56" s="24" t="str">
        <x:v>Clear non-face transformation with several structural details; scene meaning needs child explanation.</x:v>
      </x:c>
    </x:row>
    <x:row r="57" ht="82.5" customHeight="1">
      <x:c r="A57" s="24" t="str">
        <x:v>S056</x:v>
      </x:c>
      <x:c r="B57" s="24" t="str"/>
      <x:c r="C57" s="24" t="str">
        <x:v>Orange sun/face in full colored background</x:v>
      </x:c>
      <x:c r="D57" s="24" t="str">
        <x:v>Circle becomes an orange face/sun with segmented surrounding rays; most of the page is filled with pink/red background color</x:v>
      </x:c>
      <x:c r="E57" s="24" t="str">
        <x:v>sun-face scene transformation</x:v>
      </x:c>
      <x:c r="F57" s="24" t="str">
        <x:v>orange; pink; red; black/gray</x:v>
      </x:c>
      <x:c r="G57" s="24" t="str">
        <x:v>3 / 5 / 4 / 3</x:v>
      </x:c>
      <x:c r="H57" s="24" t="str">
        <x:v>15 / 3.75</x:v>
      </x:c>
      <x:c r="I57" s="24" t="str">
        <x:v>Originality is moderate because the core sun/face theme is common, while elaboration is strong due to the full-page composition.</x:v>
      </x:c>
    </x:row>
    <x:row r="58" ht="82.5" customHeight="1">
      <x:c r="A58" s="24" t="str">
        <x:v>S057</x:v>
      </x:c>
      <x:c r="B58" s="24" t="str"/>
      <x:c r="C58" s="24" t="str">
        <x:v>Large insect/animal character</x:v>
      </x:c>
      <x:c r="D58" s="24" t="str">
        <x:v>Circle becomes the head of a large insect/animal-like character with large eyes, side appendages/legs and a striped orange-green body above it</x:v>
      </x:c>
      <x:c r="E58" s="24" t="str">
        <x:v>animal/character transformation</x:v>
      </x:c>
      <x:c r="F58" s="24" t="str">
        <x:v>orange; green; pink; black; light orange</x:v>
      </x:c>
      <x:c r="G58" s="24" t="str">
        <x:v>5 / 5 / 5 / 4</x:v>
      </x:c>
      <x:c r="H58" s="24" t="str">
        <x:v>19 / 4.75</x:v>
      </x:c>
      <x:c r="I58" s="24" t="str">
        <x:v>Strong transformation and elaboration with a complete creature, patterned body and multiple anatomical details.</x:v>
      </x:c>
    </x:row>
    <x:row r="59" ht="82.5" customHeight="1">
      <x:c r="A59" s="24" t="str">
        <x:v>S058</x:v>
      </x:c>
      <x:c r="B59" s="24" t="str"/>
      <x:c r="C59" s="24" t="str">
        <x:v>Yellow character with body and orange thought/speech shape</x:v>
      </x:c>
      <x:c r="D59" s="24" t="str">
        <x:v>Circle becomes a yellow face/head with two blue leg-like extensions and a large orange shape above containing sketched forms; facial details are present</x:v>
      </x:c>
      <x:c r="E59" s="24" t="str">
        <x:v>character plus symbolic/scene transformation</x:v>
      </x:c>
      <x:c r="F59" s="24" t="str">
        <x:v>yellow; orange; blue; pink; red; black/gray</x:v>
      </x:c>
      <x:c r="G59" s="24" t="str">
        <x:v>4 / 4 / 4 / 4</x:v>
      </x:c>
      <x:c r="H59" s="24" t="str">
        <x:v>16 / 4.00</x:v>
      </x:c>
      <x:c r="I59" s="24" t="str">
        <x:v>Good extension beyond the circle and multiple connected elements support above-average creativity; exact narrative meaning is uncertain.</x:v>
      </x:c>
    </x:row>
    <x:row r="60" ht="82.5" customHeight="1">
      <x:c r="A60" s="24" t="str">
        <x:v>S059</x:v>
      </x:c>
      <x:c r="B60" s="24" t="str"/>
      <x:c r="C60" s="24" t="str">
        <x:v>Decorative flower with smiling face</x:v>
      </x:c>
      <x:c r="D60" s="24" t="str">
        <x:v>Circle becomes a smiling blue face at the center of a large flower with alternating green and pink/red petals, plus stem and leaves</x:v>
      </x:c>
      <x:c r="E60" s="24" t="str">
        <x:v>flower-character transformation</x:v>
      </x:c>
      <x:c r="F60" s="24" t="str">
        <x:v>blue; green; pink; red; light blue; black/gray</x:v>
      </x:c>
      <x:c r="G60" s="24" t="str">
        <x:v>5 / 5 / 5 / 4</x:v>
      </x:c>
      <x:c r="H60" s="24" t="str">
        <x:v>19 / 4.75</x:v>
      </x:c>
      <x:c r="I60" s="24" t="str">
        <x:v>Strong elaboration, color organization and transformation make this one of the more creative flower-based completions.</x:v>
      </x:c>
    </x:row>
    <x:row r="61" ht="82.5" customHeight="1">
      <x:c r="A61" s="24" t="str">
        <x:v>S060</x:v>
      </x:c>
      <x:c r="B61" s="24" t="str"/>
      <x:c r="C61" s="24" t="str">
        <x:v>Flower with tree/holiday-like scene inside center</x:v>
      </x:c>
      <x:c r="D61" s="24" t="str">
        <x:v>Circle becomes the center of a large flower with purple/red petals; inside the circle is a green tree-like triangular form with brown trunk and small surrounding shapes</x:v>
      </x:c>
      <x:c r="E61" s="24" t="str">
        <x:v>flower plus internal scene transformation</x:v>
      </x:c>
      <x:c r="F61" s="24" t="str">
        <x:v>yellow; green; brown; purple; red; black/gray</x:v>
      </x:c>
      <x:c r="G61" s="24" t="str">
        <x:v>5 / 5 / 5 / 5</x:v>
      </x:c>
      <x:c r="H61" s="24" t="str">
        <x:v>20 / 5.00</x:v>
      </x:c>
      <x:c r="I61" s="24" t="str">
        <x:v>Layered concept combining an outer flower and an inner scene/object demonstrates strong originality, elaboration, imagination and visible idea variety.</x:v>
      </x:c>
    </x:row>
    <x:row r="62" ht="82.5" customHeight="1">
      <x:c r="A62" s="24" t="str">
        <x:v>S061</x:v>
      </x:c>
      <x:c r="B62" s="24" t="str"/>
      <x:c r="C62" s="24" t="str">
        <x:v>Flower character in outdoor scene</x:v>
      </x:c>
      <x:c r="D62" s="24" t="str">
        <x:v>Circle becomes a smiling flower face with many pink/orange petals; the page also includes a butterfly, clouds, sun, stem and grass</x:v>
      </x:c>
      <x:c r="E62" s="24" t="str">
        <x:v>flower-character scene transformation</x:v>
      </x:c>
      <x:c r="F62" s="24" t="str">
        <x:v>yellow; pink; orange; green; blue; black/gray</x:v>
      </x:c>
      <x:c r="G62" s="24" t="str">
        <x:v>5 / 5 / 5 / 5</x:v>
      </x:c>
      <x:c r="H62" s="24" t="str">
        <x:v>20 / 5.00</x:v>
      </x:c>
      <x:c r="I62" s="24" t="str">
        <x:v>Strong scene building, multiple object categories and clear extension beyond the circle support very high preliminary creativity.</x:v>
      </x:c>
    </x:row>
    <x:row r="63" ht="82.5" customHeight="1">
      <x:c r="A63" s="24" t="str">
        <x:v>S062</x:v>
      </x:c>
      <x:c r="B63" s="24" t="str"/>
      <x:c r="C63" s="24" t="str">
        <x:v>Purple flower</x:v>
      </x:c>
      <x:c r="D63" s="24" t="str">
        <x:v>Circle forms the center of a large flower with many purple petals, one orange-purple petal area and a green stem/leaf</x:v>
      </x:c>
      <x:c r="E63" s="24" t="str">
        <x:v>flower transformation</x:v>
      </x:c>
      <x:c r="F63" s="24" t="str">
        <x:v>purple; orange; green; black/gray</x:v>
      </x:c>
      <x:c r="G63" s="24" t="str">
        <x:v>3 / 4 / 3 / 3</x:v>
      </x:c>
      <x:c r="H63" s="24" t="str">
        <x:v>13 / 3.25</x:v>
      </x:c>
      <x:c r="I63" s="24" t="str">
        <x:v>Moderate originality with good elaboration through the many petals and stem/leaf structure.</x:v>
      </x:c>
    </x:row>
    <x:row r="64" ht="82.5" customHeight="1">
      <x:c r="A64" s="24" t="str">
        <x:v>S063</x:v>
      </x:c>
      <x:c r="B64" s="24" t="str"/>
      <x:c r="C64" s="24" t="str">
        <x:v>Full human character</x:v>
      </x:c>
      <x:c r="D64" s="24" t="str">
        <x:v>Circle becomes the head of a complete person with black hair, pink ears and clothing/body below the circle</x:v>
      </x:c>
      <x:c r="E64" s="24" t="str">
        <x:v>human-character transformation</x:v>
      </x:c>
      <x:c r="F64" s="24" t="str">
        <x:v>yellow; pink; green; black; red</x:v>
      </x:c>
      <x:c r="G64" s="24" t="str">
        <x:v>4 / 5 / 4 / 3</x:v>
      </x:c>
      <x:c r="H64" s="24" t="str">
        <x:v>16 / 4.00</x:v>
      </x:c>
      <x:c r="I64" s="24" t="str">
        <x:v>Strong elaboration and transformation through a complete character, though human figures also appear elsewhere in the dataset.</x:v>
      </x:c>
    </x:row>
    <x:row r="65" ht="82.5" customHeight="1">
      <x:c r="A65" s="24" t="str">
        <x:v>S064</x:v>
      </x:c>
      <x:c r="B65" s="24" t="str"/>
      <x:c r="C65" s="24" t="str">
        <x:v>Sun/character with additional small figure and symbols</x:v>
      </x:c>
      <x:c r="D65" s="24" t="str">
        <x:v>Circle becomes a yellow sun-like face with long orange rays; several extra symbols and a small blue-pink character appear outside the circle</x:v>
      </x:c>
      <x:c r="E65" s="24" t="str">
        <x:v>sun-character scene transformation</x:v>
      </x:c>
      <x:c r="F65" s="24" t="str">
        <x:v>yellow; orange; blue; pink; black/gray</x:v>
      </x:c>
      <x:c r="G65" s="24" t="str">
        <x:v>4 / 4 / 4 / 4</x:v>
      </x:c>
      <x:c r="H65" s="24" t="str">
        <x:v>16 / 4.00</x:v>
      </x:c>
      <x:c r="I65" s="24" t="str">
        <x:v>Above-average creativity because the common sun idea is extended with additional characters and symbols.</x:v>
      </x:c>
    </x:row>
    <x:row r="66" ht="82.5" customHeight="1">
      <x:c r="A66" s="24" t="str">
        <x:v>S065</x:v>
      </x:c>
      <x:c r="B66" s="24" t="str"/>
      <x:c r="C66" s="24" t="str">
        <x:v>Orange-petal flower with purple patterned center</x:v>
      </x:c>
      <x:c r="D66" s="24" t="str">
        <x:v>Circle forms the dark purple center of a flower with many large orange petals and a simple stem</x:v>
      </x:c>
      <x:c r="E66" s="24" t="str">
        <x:v>flower transformation</x:v>
      </x:c>
      <x:c r="F66" s="24" t="str">
        <x:v>purple; orange; black/gray</x:v>
      </x:c>
      <x:c r="G66" s="24" t="str">
        <x:v>3 / 4 / 3 / 3</x:v>
      </x:c>
      <x:c r="H66" s="24" t="str">
        <x:v>13 / 3.25</x:v>
      </x:c>
      <x:c r="I66" s="24" t="str">
        <x:v>Good elaboration through repeated large petals and strong color contrast, but concept is relatively common.</x:v>
      </x:c>
    </x:row>
    <x:row r="67" ht="82.5" customHeight="1">
      <x:c r="A67" s="24" t="str">
        <x:v>S066</x:v>
      </x:c>
      <x:c r="B67" s="24" t="str"/>
      <x:c r="C67" s="24" t="str">
        <x:v>Multicolored flower</x:v>
      </x:c>
      <x:c r="D67" s="24" t="str">
        <x:v>Circle becomes the yellow center of a flower surrounded by many petals colored blue, purple, orange, red and yellow</x:v>
      </x:c>
      <x:c r="E67" s="24" t="str">
        <x:v>flower transformation</x:v>
      </x:c>
      <x:c r="F67" s="24" t="str">
        <x:v>yellow; blue; purple; orange; red; black/gray</x:v>
      </x:c>
      <x:c r="G67" s="24" t="str">
        <x:v>4 / 5 / 4 / 3</x:v>
      </x:c>
      <x:c r="H67" s="24" t="str">
        <x:v>16 / 4.00</x:v>
      </x:c>
      <x:c r="I67" s="24" t="str">
        <x:v>Strong elaboration and color diversity; originality remains moderate because flower responses appear frequently.</x:v>
      </x:c>
    </x:row>
    <x:row r="68" ht="82.5" customHeight="1">
      <x:c r="A68" s="24" t="str">
        <x:v>S067</x:v>
      </x:c>
      <x:c r="B68" s="24" t="str"/>
      <x:c r="C68" s="24" t="str">
        <x:v>Rabbit/animal character with carrot</x:v>
      </x:c>
      <x:c r="D68" s="24" t="str">
        <x:v>Circle becomes an animal face with long ears; a full body, arms, tail and an orange carrot are added outside the circle</x:v>
      </x:c>
      <x:c r="E68" s="24" t="str">
        <x:v>animal-character transformation</x:v>
      </x:c>
      <x:c r="F68" s="24" t="str">
        <x:v>yellow; gray; pink; orange; green; black/gray</x:v>
      </x:c>
      <x:c r="G68" s="24" t="str">
        <x:v>5 / 5 / 5 / 4</x:v>
      </x:c>
      <x:c r="H68" s="24" t="str">
        <x:v>19 / 4.75</x:v>
      </x:c>
      <x:c r="I68" s="24" t="str">
        <x:v>Strong transformation, recognizable animal structure and added prop support high preliminary creativity.</x:v>
      </x:c>
    </x:row>
    <x:row r="69" ht="82.5" customHeight="1">
      <x:c r="A69" s="24" t="str">
        <x:v>S068</x:v>
      </x:c>
      <x:c r="B69" s="24" t="str"/>
      <x:c r="C69" s="24" t="str">
        <x:v>Rabbit/animal character in simple scene</x:v>
      </x:c>
      <x:c r="D69" s="24" t="str">
        <x:v>Circle becomes a rabbit-like face with long ears and full body; the character holds a carrot and an additional carrot is drawn nearby</x:v>
      </x:c>
      <x:c r="E69" s="24" t="str">
        <x:v>animal-character scene transformation</x:v>
      </x:c>
      <x:c r="F69" s="24" t="str">
        <x:v>yellow; orange; green; black/gray</x:v>
      </x:c>
      <x:c r="G69" s="24" t="str">
        <x:v>5 / 5 / 5 / 4</x:v>
      </x:c>
      <x:c r="H69" s="24" t="str">
        <x:v>19 / 4.75</x:v>
      </x:c>
      <x:c r="I69" s="24" t="str">
        <x:v>Complete animal character plus contextual carrot objects show strong elaboration and imagination.</x:v>
      </x:c>
    </x:row>
    <x:row r="70" ht="82.5" customHeight="1">
      <x:c r="A70" s="24" t="str">
        <x:v>S069</x:v>
      </x:c>
      <x:c r="B70" s="24" t="str"/>
      <x:c r="C70" s="24" t="str">
        <x:v>Red flower with abstract center</x:v>
      </x:c>
      <x:c r="D70" s="24" t="str">
        <x:v>Circle is used as the center of a large red flower; abstract blue/purple forms appear inside the circle and a simple stem/leaf is added</x:v>
      </x:c>
      <x:c r="E70" s="24" t="str">
        <x:v>flower transformation with abstract center</x:v>
      </x:c>
      <x:c r="F70" s="24" t="str">
        <x:v>red; blue; purple; black/gray</x:v>
      </x:c>
      <x:c r="G70" s="24" t="str">
        <x:v>4 / 4 / 4 / 3</x:v>
      </x:c>
      <x:c r="H70" s="24" t="str">
        <x:v>15 / 3.75</x:v>
      </x:c>
      <x:c r="I70" s="24" t="str">
        <x:v>Moderate-to-high creativity through layered flower structure and unusual center details.</x:v>
      </x:c>
    </x:row>
    <x:row r="71" ht="82.5" customHeight="1">
      <x:c r="A71" s="24" t="str">
        <x:v>S070</x:v>
      </x:c>
      <x:c r="B71" s="24" t="str"/>
      <x:c r="C71" s="24" t="str">
        <x:v>Full human character</x:v>
      </x:c>
      <x:c r="D71" s="24" t="str">
        <x:v>Circle becomes the head of a complete human character with black hair, detailed facial features, purple shirt, blue trousers and arms/hands</x:v>
      </x:c>
      <x:c r="E71" s="24" t="str">
        <x:v>human-character transformation</x:v>
      </x:c>
      <x:c r="F71" s="24" t="str">
        <x:v>yellow; black; purple; blue; red</x:v>
      </x:c>
      <x:c r="G71" s="24" t="str">
        <x:v>4 / 5 / 4 / 3</x:v>
      </x:c>
      <x:c r="H71" s="24" t="str">
        <x:v>16 / 4.00</x:v>
      </x:c>
      <x:c r="I71" s="24" t="str">
        <x:v>Strong elaboration and full-body transformation, though human-character responses are present elsewhere in the sample.</x:v>
      </x:c>
    </x:row>
    <x:row r="72" ht="82.5" customHeight="1">
      <x:c r="A72" s="24" t="str">
        <x:v>S071</x:v>
      </x:c>
      <x:c r="B72" s="24" t="str"/>
      <x:c r="C72" s="24" t="str">
        <x:v>Bird/animal with decorative circular head</x:v>
      </x:c>
      <x:c r="D72" s="24" t="str">
        <x:v>Circle becomes a decorated animal/bird-like head with blue outer feather/spike forms, yellow and purple inner regions; an orange-purple body with legs extends to the side</x:v>
      </x:c>
      <x:c r="E72" s="24" t="str">
        <x:v>animal-character transformation</x:v>
      </x:c>
      <x:c r="F72" s="24" t="str">
        <x:v>blue; purple; yellow; orange; brown; black/gray</x:v>
      </x:c>
      <x:c r="G72" s="24" t="str">
        <x:v>5 / 5 / 5 / 4</x:v>
      </x:c>
      <x:c r="H72" s="24" t="str">
        <x:v>19 / 4.75</x:v>
      </x:c>
      <x:c r="I72" s="24" t="str">
        <x:v>Strong transformation, layered color structure and complete body extension support high preliminary creativity.</x:v>
      </x:c>
    </x:row>
    <x:row r="73" ht="82.5" customHeight="1">
      <x:c r="A73" s="24" t="str">
        <x:v>S072</x:v>
      </x:c>
      <x:c r="B73" s="24" t="str"/>
      <x:c r="C73" s="24" t="str">
        <x:v>Flower-face character</x:v>
      </x:c>
      <x:c r="D73" s="24" t="str">
        <x:v>Circle becomes a yellow smiling face at the center of a flower with large yellow petals and red inner petal sections</x:v>
      </x:c>
      <x:c r="E73" s="24" t="str">
        <x:v>flower-character transformation</x:v>
      </x:c>
      <x:c r="F73" s="24" t="str">
        <x:v>yellow; red; black/gray</x:v>
      </x:c>
      <x:c r="G73" s="24" t="str">
        <x:v>3 / 4 / 3 / 3</x:v>
      </x:c>
      <x:c r="H73" s="24" t="str">
        <x:v>13 / 3.25</x:v>
      </x:c>
      <x:c r="I73" s="24" t="str">
        <x:v>Moderate originality with good elaboration through repeated petal structure and expressive facial details.</x:v>
      </x:c>
    </x:row>
    <x:row r="74" ht="82.5" customHeight="1">
      <x:c r="A74" s="24" t="str">
        <x:v>S073</x:v>
      </x:c>
      <x:c r="B74" s="24" t="str"/>
      <x:c r="C74" s="24" t="str">
        <x:v>Rabbit/animal character holding carrot</x:v>
      </x:c>
      <x:c r="D74" s="24" t="str">
        <x:v>Circle becomes a rabbit-like face with long ears; a round body and hands are added, with an orange carrot held in front</x:v>
      </x:c>
      <x:c r="E74" s="24" t="str">
        <x:v>animal-character transformation</x:v>
      </x:c>
      <x:c r="F74" s="24" t="str">
        <x:v>white; pink; red; orange; green; black/gray</x:v>
      </x:c>
      <x:c r="G74" s="24" t="str">
        <x:v>5 / 5 / 5 / 4</x:v>
      </x:c>
      <x:c r="H74" s="24" t="str">
        <x:v>19 / 4.75</x:v>
      </x:c>
      <x:c r="I74" s="24" t="str">
        <x:v>Strong animal transformation and prop use show high elaboration and imagination.</x:v>
      </x:c>
    </x:row>
    <x:row r="75" ht="82.5" customHeight="1">
      <x:c r="A75" s="24" t="str">
        <x:v>S074</x:v>
      </x:c>
      <x:c r="B75" s="24" t="str"/>
      <x:c r="C75" s="24" t="str">
        <x:v>Flower-face character</x:v>
      </x:c>
      <x:c r="D75" s="24" t="str">
        <x:v>Circle becomes a smiling yellow face surrounded by five large green petals with red inner sections; a thin stem and leaf are added below</x:v>
      </x:c>
      <x:c r="E75" s="24" t="str">
        <x:v>flower-character transformation</x:v>
      </x:c>
      <x:c r="F75" s="24" t="str">
        <x:v>yellow; green; red; black/gray</x:v>
      </x:c>
      <x:c r="G75" s="24" t="str">
        <x:v>3 / 4 / 4 / 3</x:v>
      </x:c>
      <x:c r="H75" s="24" t="str">
        <x:v>14 / 3.50</x:v>
      </x:c>
      <x:c r="I75" s="24" t="str">
        <x:v>Good elaboration and color organization, with moderate originality because flower-character responses are common.</x:v>
      </x:c>
    </x:row>
    <x:row r="76" ht="82.5" customHeight="1">
      <x:c r="A76" s="24" t="str">
        <x:v>S075</x:v>
      </x:c>
      <x:c r="B76" s="24" t="str"/>
      <x:c r="C76" s="24" t="str">
        <x:v>Moon/face in night-sky scene</x:v>
      </x:c>
      <x:c r="D76" s="24" t="str">
        <x:v>Circle becomes a large yellow face or moon-like character surrounded by many blue cloud-like forms and numerous yellow stars; a small crescent moon/face appears above</x:v>
      </x:c>
      <x:c r="E76" s="24" t="str">
        <x:v>night-sky scene transformation</x:v>
      </x:c>
      <x:c r="F76" s="24" t="str">
        <x:v>yellow; blue; red; black/gray; brown/green accents</x:v>
      </x:c>
      <x:c r="G76" s="24" t="str">
        <x:v>5 / 5 / 5 / 5</x:v>
      </x:c>
      <x:c r="H76" s="24" t="str">
        <x:v>20 / 5.00</x:v>
      </x:c>
      <x:c r="I76" s="24" t="str">
        <x:v>Rich environmental scene, multiple symbolic elements and full-page composition support very high preliminary creativity.</x:v>
      </x:c>
    </x:row>
    <x:row r="77" ht="82.5" customHeight="1">
      <x:c r="A77" s="24" t="str">
        <x:v>S076</x:v>
      </x:c>
      <x:c r="B77" s="24" t="str"/>
      <x:c r="C77" s="24" t="str">
        <x:v>Brown winged animal/insect-like character</x:v>
      </x:c>
      <x:c r="D77" s="24" t="str">
        <x:v>Circle forms the round head/body area of a brown creature with a large elongated body and multiple wing- or petal-like extensions</x:v>
      </x:c>
      <x:c r="E77" s="24" t="str">
        <x:v>animal/insect transformation</x:v>
      </x:c>
      <x:c r="F77" s="24" t="str">
        <x:v>brown; peach/light orange; black/gray</x:v>
      </x:c>
      <x:c r="G77" s="24" t="str">
        <x:v>4 / 3 / 4 / 3</x:v>
      </x:c>
      <x:c r="H77" s="24" t="str">
        <x:v>14 / 3.50</x:v>
      </x:c>
      <x:c r="I77" s="24" t="str">
        <x:v>Uncommon transformation supports originality, while moderate detail limits elaboration.</x:v>
      </x:c>
    </x:row>
    <x:row r="78" ht="82.5" customHeight="1">
      <x:c r="A78" s="24" t="str">
        <x:v>S077</x:v>
      </x:c>
      <x:c r="B78" s="24" t="str"/>
      <x:c r="C78" s="24" t="str">
        <x:v>Bird/animal character with colorful side shapes</x:v>
      </x:c>
      <x:c r="D78" s="24" t="str">
        <x:v>Circle becomes a pink animal/bird-like head/body with a dark eye; several large colored appendages extend around it, with a separate multicolored triangular/feather-like form nearby</x:v>
      </x:c>
      <x:c r="E78" s="24" t="str">
        <x:v>animal-character transformation</x:v>
      </x:c>
      <x:c r="F78" s="24" t="str">
        <x:v>pink; orange; yellow; gray; black/gray</x:v>
      </x:c>
      <x:c r="G78" s="24" t="str">
        <x:v>5 / 4 / 5 / 4</x:v>
      </x:c>
      <x:c r="H78" s="24" t="str">
        <x:v>18 / 4.50</x:v>
      </x:c>
      <x:c r="I78" s="24" t="str">
        <x:v>Unusual creature design and multiple appendages support high originality and imagination.</x:v>
      </x:c>
    </x:row>
    <x:row r="79" ht="82.5" customHeight="1">
      <x:c r="A79" s="24" t="str">
        <x:v>S078</x:v>
      </x:c>
      <x:c r="B79" s="24" t="str"/>
      <x:c r="C79" s="24" t="str">
        <x:v>Multicolored flower-face character</x:v>
      </x:c>
      <x:c r="D79" s="24" t="str">
        <x:v>Circle becomes a smiling yellow flower face surrounded by many large petals in different colors; a stem and green leaf are added below</x:v>
      </x:c>
      <x:c r="E79" s="24" t="str">
        <x:v>flower-character transformation</x:v>
      </x:c>
      <x:c r="F79" s="24" t="str">
        <x:v>yellow; pink; brown; red; orange; purple; blue; green; black</x:v>
      </x:c>
      <x:c r="G79" s="24" t="str">
        <x:v>4 / 5 / 4 / 4</x:v>
      </x:c>
      <x:c r="H79" s="24" t="str">
        <x:v>17 / 4.25</x:v>
      </x:c>
      <x:c r="I79" s="24" t="str">
        <x:v>High elaboration and color diversity; originality is good but reduced slightly because flower completions occur frequently.</x:v>
      </x:c>
    </x:row>
    <x:row r="80" ht="82.5" customHeight="1">
      <x:c r="A80" s="24" t="str">
        <x:v>S079</x:v>
      </x:c>
      <x:c r="B80" s="24" t="str"/>
      <x:c r="C80" s="24" t="str">
        <x:v>Pink pig/bear-like animal character</x:v>
      </x:c>
      <x:c r="D80" s="24" t="str">
        <x:v>Circle becomes the head of a pink animal character with rounded ears, eyes, snout, smiling mouth and a round body; a curly tail-like line appears at the side</x:v>
      </x:c>
      <x:c r="E80" s="24" t="str">
        <x:v>animal-character transformation</x:v>
      </x:c>
      <x:c r="F80" s="24" t="str">
        <x:v>pink; black/gray</x:v>
      </x:c>
      <x:c r="G80" s="24" t="str">
        <x:v>4 / 4 / 4 / 3</x:v>
      </x:c>
      <x:c r="H80" s="24" t="str">
        <x:v>15 / 3.75</x:v>
      </x:c>
      <x:c r="I80" s="24" t="str">
        <x:v>Complete animal structure and multiple recognizable features give moderate-to-high preliminary creativity.</x:v>
      </x:c>
    </x:row>
    <x:row r="81" ht="82.5" customHeight="1">
      <x:c r="A81" s="24" t="str">
        <x:v>S080</x:v>
      </x:c>
      <x:c r="B81" s="24" t="str"/>
      <x:c r="C81" s="24" t="str">
        <x:v>Circular hanging ornament/object with four colored motifs</x:v>
      </x:c>
      <x:c r="D81" s="24" t="str">
        <x:v>Circle becomes an ornament-like hanging object with a yellow top tab and four separate colored decorative motifs inside the circle</x:v>
      </x:c>
      <x:c r="E81" s="24" t="str">
        <x:v>decorative object transformation</x:v>
      </x:c>
      <x:c r="F81" s="24" t="str">
        <x:v>blue; purple; green; pink; yellow; black</x:v>
      </x:c>
      <x:c r="G81" s="24" t="str">
        <x:v>5 / 4 / 5 / 4</x:v>
      </x:c>
      <x:c r="H81" s="24" t="str">
        <x:v>18 / 4.50</x:v>
      </x:c>
      <x:c r="I81" s="24" t="str">
        <x:v>Unusual decorative-object interpretation and multiple internal motifs support high originality and imagination.</x:v>
      </x:c>
    </x:row>
    <x:row r="82" ht="82.5" customHeight="1">
      <x:c r="A82" s="24" t="str">
        <x:v>S081</x:v>
      </x:c>
      <x:c r="B82" s="24" t="str"/>
      <x:c r="C82" s="24" t="str">
        <x:v>Red sun-like circular form</x:v>
      </x:c>
      <x:c r="D82" s="24" t="str">
        <x:v>Circle is filled red and surrounded by many long red radial lines, forming a sun-like or radiant object</x:v>
      </x:c>
      <x:c r="E82" s="24" t="str">
        <x:v>sun/radiant object transformation</x:v>
      </x:c>
      <x:c r="F82" s="24" t="str">
        <x:v>red; black/gray</x:v>
      </x:c>
      <x:c r="G82" s="24" t="str">
        <x:v>2 / 3 / 2 / 2</x:v>
      </x:c>
      <x:c r="H82" s="24" t="str">
        <x:v>9 / 2.25</x:v>
      </x:c>
      <x:c r="I82" s="24" t="str">
        <x:v>Clear transformation with repeated rays, but limited detail and idea variation reduce preliminary creativity scores.</x:v>
      </x:c>
    </x:row>
    <x:row r="83" ht="82.5" customHeight="1">
      <x:c r="A83" s="24" t="str">
        <x:v>S082</x:v>
      </x:c>
      <x:c r="B83" s="24" t="str"/>
      <x:c r="C83" s="24" t="str">
        <x:v>Green leaf/plant-like object with small top element</x:v>
      </x:c>
      <x:c r="D83" s="24" t="str">
        <x:v>Inside the circle is a green leaf- or plant-like form with a pointed upper section, brown band and a small red-brown top element</x:v>
      </x:c>
      <x:c r="E83" s="24" t="str">
        <x:v>plant/object transformation</x:v>
      </x:c>
      <x:c r="F83" s="24" t="str">
        <x:v>green; brown; red; black/gray</x:v>
      </x:c>
      <x:c r="G83" s="24" t="str">
        <x:v>5 / 3 / 4 / 3</x:v>
      </x:c>
      <x:c r="H83" s="24" t="str">
        <x:v>15 / 3.75</x:v>
      </x:c>
      <x:c r="I83" s="24" t="str">
        <x:v>Uncommon interpretation supports originality, while moderate visible detail limits elaboration.</x:v>
      </x:c>
    </x:row>
    <x:row r="84" ht="82.5" customHeight="1">
      <x:c r="A84" s="24" t="str">
        <x:v>S083</x:v>
      </x:c>
      <x:c r="B84" s="24" t="str"/>
      <x:c r="C84" s="24" t="str">
        <x:v>Bird/animal character with rainbow-like tail</x:v>
      </x:c>
      <x:c r="D84" s="24" t="str">
        <x:v>Circle becomes the body/head of a bird-like creature with red crest, yellow beak/wing-like section and a large rainbow-like layered tail at the side</x:v>
      </x:c>
      <x:c r="E84" s="24" t="str">
        <x:v>animal-character transformation</x:v>
      </x:c>
      <x:c r="F84" s="24" t="str">
        <x:v>brown; red; pink; yellow; black/gray</x:v>
      </x:c>
      <x:c r="G84" s="24" t="str">
        <x:v>5 / 4 / 5 / 4</x:v>
      </x:c>
      <x:c r="H84" s="24" t="str">
        <x:v>18 / 4.50</x:v>
      </x:c>
      <x:c r="I84" s="24" t="str">
        <x:v>Strong transformation and decorative tail support high originality and imagination.</x:v>
      </x:c>
    </x:row>
    <x:row r="85" ht="82.5" customHeight="1">
      <x:c r="A85" s="24" t="str">
        <x:v>S084</x:v>
      </x:c>
      <x:c r="B85" s="24" t="str"/>
      <x:c r="C85" s="24" t="str">
        <x:v>Small pink animal/bird inside circle</x:v>
      </x:c>
      <x:c r="D85" s="24" t="str">
        <x:v>A small pink animal- or bird-like figure is drawn inside the circle with round body, smaller head and red facial/appendage details</x:v>
      </x:c>
      <x:c r="E85" s="24" t="str">
        <x:v>small animal transformation</x:v>
      </x:c>
      <x:c r="F85" s="24" t="str">
        <x:v>pink; red; black/gray</x:v>
      </x:c>
      <x:c r="G85" s="24" t="str">
        <x:v>4 / 3 / 4 / 3</x:v>
      </x:c>
      <x:c r="H85" s="24" t="str">
        <x:v>14 / 3.50</x:v>
      </x:c>
      <x:c r="I85" s="24" t="str">
        <x:v>Interesting placement of a small creature inside the circle gives good originality, but detail level is moderate.</x:v>
      </x:c>
    </x:row>
    <x:row r="86" ht="82.5" customHeight="1">
      <x:c r="A86" s="24" t="str">
        <x:v>S085</x:v>
      </x:c>
      <x:c r="B86" s="24" t="str"/>
      <x:c r="C86" s="24" t="str">
        <x:v>Orange circular landscape/tree scene</x:v>
      </x:c>
      <x:c r="D86" s="24" t="str">
        <x:v>Circle is filled orange and contains a small green tree-like form with brown trunk plus many repeated black curved marks across the scene</x:v>
      </x:c>
      <x:c r="E86" s="24" t="str">
        <x:v>landscape/pattern scene transformation</x:v>
      </x:c>
      <x:c r="F86" s="24" t="str">
        <x:v>orange; green; brown; black/gray</x:v>
      </x:c>
      <x:c r="G86" s="24" t="str">
        <x:v>4 / 4 / 4 / 3</x:v>
      </x:c>
      <x:c r="H86" s="24" t="str">
        <x:v>15 / 3.75</x:v>
      </x:c>
      <x:c r="I86" s="24" t="str">
        <x:v>The enclosed scene and repeated visual pattern show good elaboration and a moderately original interpretation.</x:v>
      </x:c>
    </x:row>
    <x:row r="87" ht="82.5" customHeight="1">
      <x:c r="A87" s="24" t="str">
        <x:v>S086</x:v>
      </x:c>
      <x:c r="B87" s="24" t="str"/>
      <x:c r="C87" s="24" t="str">
        <x:v>Two people in a sky/cloud scene</x:v>
      </x:c>
      <x:c r="D87" s="24" t="str">
        <x:v>Circle contains two human figures, one in purple and one in green, together with blue cloud-like forms and a small central circular element</x:v>
      </x:c>
      <x:c r="E87" s="24" t="str">
        <x:v>multi-character scene transformation</x:v>
      </x:c>
      <x:c r="F87" s="24" t="str">
        <x:v>purple; green; brown; blue; black/gray</x:v>
      </x:c>
      <x:c r="G87" s="24" t="str">
        <x:v>5 / 4 / 5 / 5</x:v>
      </x:c>
      <x:c r="H87" s="24" t="str">
        <x:v>19 / 4.75</x:v>
      </x:c>
      <x:c r="I87" s="24" t="str">
        <x:v>Multiple characters and contextual elements indicate strong idea variety, imagination and originality.</x:v>
      </x:c>
    </x:row>
    <x:row r="88" ht="82.5" customHeight="1">
      <x:c r="A88" s="24" t="str">
        <x:v>S087</x:v>
      </x:c>
      <x:c r="B88" s="24" t="str"/>
      <x:c r="C88" s="24" t="str">
        <x:v>Green vehicle/tractor-like object with sky elements</x:v>
      </x:c>
      <x:c r="D88" s="24" t="str">
        <x:v>Circle contains a green vehicle- or tractor-like object with several circular wheel-like details; blue cloud forms and an orange sun-like object appear nearby</x:v>
      </x:c>
      <x:c r="E88" s="24" t="str">
        <x:v>vehicle scene transformation</x:v>
      </x:c>
      <x:c r="F88" s="24" t="str">
        <x:v>green; blue; orange; black/gray</x:v>
      </x:c>
      <x:c r="G88" s="24" t="str">
        <x:v>5 / 4 / 5 / 4</x:v>
      </x:c>
      <x:c r="H88" s="24" t="str">
        <x:v>18 / 4.50</x:v>
      </x:c>
      <x:c r="I88" s="24" t="str">
        <x:v>Strong non-face transformation with multiple related scene elements supports high preliminary creativity.</x:v>
      </x:c>
    </x:row>
    <x:row r="89" ht="82.5" customHeight="1">
      <x:c r="A89" s="24" t="str">
        <x:v>S088</x:v>
      </x:c>
      <x:c r="B89" s="24" t="str"/>
      <x:c r="C89" s="24" t="str">
        <x:v>Orange landscape with tree</x:v>
      </x:c>
      <x:c r="D89" s="24" t="str">
        <x:v>Circle is filled orange with a green tree and brown trunk; several black curved cloud-like or texture marks are distributed around the scene</x:v>
      </x:c>
      <x:c r="E89" s="24" t="str">
        <x:v>landscape scene transformation</x:v>
      </x:c>
      <x:c r="F89" s="24" t="str">
        <x:v>orange; green; brown; black/gray</x:v>
      </x:c>
      <x:c r="G89" s="24" t="str">
        <x:v>3 / 4 / 4 / 3</x:v>
      </x:c>
      <x:c r="H89" s="24" t="str">
        <x:v>14 / 3.50</x:v>
      </x:c>
      <x:c r="I89" s="24" t="str">
        <x:v>Good scene construction and patterning, though similarity to another response lowers preliminary originality.</x:v>
      </x:c>
    </x:row>
    <x:row r="90" ht="82.5" customHeight="1">
      <x:c r="A90" s="24" t="str">
        <x:v>S089</x:v>
      </x:c>
      <x:c r="B90" s="24" t="str"/>
      <x:c r="C90" s="24" t="str">
        <x:v>Small character/object under blue band</x:v>
      </x:c>
      <x:c r="D90" s="24" t="str">
        <x:v>Inside the circle is a small stacked character/object with black top section, yellow and pink lower sections, and a wide blue horizontal band above</x:v>
      </x:c>
      <x:c r="E90" s="24" t="str">
        <x:v>abstract character/object transformation</x:v>
      </x:c>
      <x:c r="F90" s="24" t="str">
        <x:v>blue; black/gray; yellow; pink; brown</x:v>
      </x:c>
      <x:c r="G90" s="24" t="str">
        <x:v>5 / 3 / 5 / 4</x:v>
      </x:c>
      <x:c r="H90" s="24" t="str">
        <x:v>17 / 4.25</x:v>
      </x:c>
      <x:c r="I90" s="24" t="str">
        <x:v>Unusual abstract interpretation supports originality and imagination, though visible detail is limited.</x:v>
      </x:c>
    </x:row>
    <x:row r="91" ht="82.5" customHeight="1">
      <x:c r="A91" s="24" t="str">
        <x:v>S090</x:v>
      </x:c>
      <x:c r="B91" s="24" t="str"/>
      <x:c r="C91" s="24" t="str">
        <x:v>Red outer ring with purple inner circular pattern</x:v>
      </x:c>
      <x:c r="D91" s="24" t="str">
        <x:v>Circle is filled purple with dense internal marks and surrounded by a thick red outer ring divided into sections</x:v>
      </x:c>
      <x:c r="E91" s="24" t="str">
        <x:v>decorative abstract transformation</x:v>
      </x:c>
      <x:c r="F91" s="24" t="str">
        <x:v>red; purple; black/gray</x:v>
      </x:c>
      <x:c r="G91" s="24" t="str">
        <x:v>4 / 4 / 4 / 3</x:v>
      </x:c>
      <x:c r="H91" s="24" t="str">
        <x:v>15 / 3.75</x:v>
      </x:c>
      <x:c r="I91" s="24" t="str">
        <x:v>Strong visual patterning gives good elaboration and moderate originality, but conceptual meaning is unclear.</x:v>
      </x:c>
    </x:row>
    <x:row r="92" ht="82.5" customHeight="1">
      <x:c r="A92" s="24" t="str">
        <x:v>S091</x:v>
      </x:c>
      <x:c r="B92" s="24" t="str"/>
      <x:c r="C92" s="24" t="str">
        <x:v>Two-tone green and orange circular object</x:v>
      </x:c>
      <x:c r="D92" s="24" t="str">
        <x:v>The circle is divided diagonally into a large green section and a smaller orange section, with a dark vertical mark inside the green area.</x:v>
      </x:c>
      <x:c r="E92" s="24" t="str">
        <x:v>abstract color-block transformation</x:v>
      </x:c>
      <x:c r="F92" s="24" t="str">
        <x:v>green; orange; black/gray</x:v>
      </x:c>
      <x:c r="G92" s="24" t="str">
        <x:v>4 / 2 / 2 / 3</x:v>
      </x:c>
      <x:c r="H92" s="24" t="str">
        <x:v>11 / 2.75</x:v>
      </x:c>
      <x:c r="I92" s="24" t="str">
        <x:v>Unusual abstract use of the circle gives good originality, but detail and idea expansion are limited.</x:v>
      </x:c>
    </x:row>
    <x:row r="93" ht="82.5" customHeight="1">
      <x:c r="A93" s="24" t="str">
        <x:v>S092</x:v>
      </x:c>
      <x:c r="B93" s="24" t="str"/>
      <x:c r="C93" s="24" t="str">
        <x:v>Jellyfish-like figure with smiling face</x:v>
      </x:c>
      <x:c r="D93" s="24" t="str">
        <x:v>The circle forms the head of a jellyfish-like figure with a smiling face, while long blue trailing lines extend from the lower side like tentacles.</x:v>
      </x:c>
      <x:c r="E93" s="24" t="str">
        <x:v>animal/sea-creature transformation</x:v>
      </x:c>
      <x:c r="F93" s="24" t="str">
        <x:v>red; blue; black/gray</x:v>
      </x:c>
      <x:c r="G93" s="24" t="str">
        <x:v>4 / 3 / 3 / 4</x:v>
      </x:c>
      <x:c r="H93" s="24" t="str">
        <x:v>14 / 3.50</x:v>
      </x:c>
      <x:c r="I93" s="24" t="str">
        <x:v>The jellyfish-like transformation is imaginative and clearer than many simple responses, with moderate detail.</x:v>
      </x:c>
    </x:row>
    <x:row r="94" ht="82.5" customHeight="1">
      <x:c r="A94" s="24" t="str">
        <x:v>S093</x:v>
      </x:c>
      <x:c r="B94" s="24" t="str"/>
      <x:c r="C94" s="24" t="str">
        <x:v>Elaborate multicolored flower or decorative mandala</x:v>
      </x:c>
      <x:c r="D94" s="24" t="str">
        <x:v>The circle is developed into a highly decorative flower- or mandala-like design with a red center, surrounding yellow shapes, large blue petal forms, orange outer petals and purple extensions.</x:v>
      </x:c>
      <x:c r="E94" s="24" t="str">
        <x:v>decorative floral transformation</x:v>
      </x:c>
      <x:c r="F94" s="24" t="str">
        <x:v>blue; orange; pink; red; yellow; purple</x:v>
      </x:c>
      <x:c r="G94" s="24" t="str">
        <x:v>5 / 4 / 5 / 5</x:v>
      </x:c>
      <x:c r="H94" s="24" t="str">
        <x:v>19 / 4.75</x:v>
      </x:c>
      <x:c r="I94" s="24" t="str">
        <x:v>This response shows strong elaboration, color variety and creative transformation with many structured details.</x:v>
      </x:c>
    </x:row>
    <x:row r="95" ht="82.5" customHeight="1">
      <x:c r="A95" s="24" t="str">
        <x:v>S094</x:v>
      </x:c>
      <x:c r="B95" s="24" t="str"/>
      <x:c r="C95" s="24" t="str">
        <x:v>Face with geometric decorations</x:v>
      </x:c>
      <x:c r="D95" s="24" t="str">
        <x:v>Inside the circle is a simple face with eyes and lips, while several geometric shapes such as stars, hexagons and quadrilateral forms appear around the upper side of the head.</x:v>
      </x:c>
      <x:c r="E95" s="24" t="str">
        <x:v>face-and-symbol transformation</x:v>
      </x:c>
      <x:c r="F95" s="24" t="str">
        <x:v>red; pink; black/gray; brown</x:v>
      </x:c>
      <x:c r="G95" s="24" t="str">
        <x:v>4 / 4 / 4 / 4</x:v>
      </x:c>
      <x:c r="H95" s="24" t="str">
        <x:v>16 / 4.00</x:v>
      </x:c>
      <x:c r="I95" s="24" t="str">
        <x:v>The face-plus-symbol composition shows balanced originality and imagination, with moderate elaboration.</x:v>
      </x:c>
    </x:row>
    <x:row r="96" ht="82.5" customHeight="1">
      <x:c r="A96" s="24" t="str">
        <x:v>S095</x:v>
      </x:c>
      <x:c r="B96" s="24" t="str"/>
      <x:c r="C96" s="24" t="str">
        <x:v>Pinwheel or umbrella-like circular design</x:v>
      </x:c>
      <x:c r="D96" s="24" t="str">
        <x:v>A large circular design radiates from a central dark point, with wedge-like red and blue sections and a broad red segment at the left edge, resembling a pinwheel, umbrella or decorative flower.</x:v>
      </x:c>
      <x:c r="E96" s="24" t="str">
        <x:v>radial-pattern transformation</x:v>
      </x:c>
      <x:c r="F96" s="24" t="str">
        <x:v>red; pink; blue; black/gray</x:v>
      </x:c>
      <x:c r="G96" s="24" t="str">
        <x:v>4 / 4 / 5 / 3</x:v>
      </x:c>
      <x:c r="H96" s="24" t="str">
        <x:v>16 / 4.00</x:v>
      </x:c>
      <x:c r="I96" s="24" t="str">
        <x:v>The repeated radial structure gives strong elaboration, while the meaning remains somewhat open-ended.</x:v>
      </x:c>
    </x:row>
    <x:row r="97" ht="82.5" customHeight="1">
      <x:c r="A97" s="24" t="str">
        <x:v>S096</x:v>
      </x:c>
      <x:c r="B97" s="24" t="str"/>
      <x:c r="C97" s="24" t="str">
        <x:v>Small red vehicle or rocket-like object</x:v>
      </x:c>
      <x:c r="D97" s="24" t="str">
        <x:v>Inside the circle is a small red upright object with a green top, tiny side details and a pointed lower section, resembling a vehicle, rocket or cartoon machine.</x:v>
      </x:c>
      <x:c r="E97" s="24" t="str">
        <x:v>object/vehicle transformation</x:v>
      </x:c>
      <x:c r="F97" s="24" t="str">
        <x:v>red; green; pink; black/gray</x:v>
      </x:c>
      <x:c r="G97" s="24" t="str">
        <x:v>4 / 3 / 3 / 3</x:v>
      </x:c>
      <x:c r="H97" s="24" t="str">
        <x:v>13 / 3.25</x:v>
      </x:c>
      <x:c r="I97" s="24" t="str">
        <x:v>A non-common object choice supports originality, though visible detail remains moderate.</x:v>
      </x:c>
    </x:row>
    <x:row r="98" ht="82.5" customHeight="1">
      <x:c r="A98" s="24" t="str">
        <x:v>S097</x:v>
      </x:c>
      <x:c r="B98" s="24" t="str"/>
      <x:c r="C98" s="24" t="str">
        <x:v>Colorful wheel or lollipop with handle</x:v>
      </x:c>
      <x:c r="D98" s="24" t="str">
        <x:v>The circle is divided into bright wedge-shaped color sections around an orange center, and a long pink vertical handle extends from the top, making it look like a colorful wheel, spinner or lollipop.</x:v>
      </x:c>
      <x:c r="E98" s="24" t="str">
        <x:v>play-object transformation</x:v>
      </x:c>
      <x:c r="F98" s="24" t="str">
        <x:v>purple; pink; yellow; orange; black</x:v>
      </x:c>
      <x:c r="G98" s="24" t="str">
        <x:v>3 / 3 / 4 / 3</x:v>
      </x:c>
      <x:c r="H98" s="24" t="str">
        <x:v>13 / 3.25</x:v>
      </x:c>
      <x:c r="I98" s="24" t="str">
        <x:v>Colorful segmentation adds visual interest, but the conceptual transformation is relatively simple.</x:v>
      </x:c>
    </x:row>
    <x:row r="99" ht="82.5" customHeight="1">
      <x:c r="A99" s="24" t="str">
        <x:v>S098</x:v>
      </x:c>
      <x:c r="B99" s="24" t="str"/>
      <x:c r="C99" s="24" t="str">
        <x:v>Rainbow-striped circular design</x:v>
      </x:c>
      <x:c r="D99" s="24" t="str">
        <x:v>The circle is filled with horizontal rainbow-like color bands from pink at the top through blue, purple, green, yellow and brown to red at the bottom.</x:v>
      </x:c>
      <x:c r="E99" s="24" t="str">
        <x:v>abstract rainbow transformation</x:v>
      </x:c>
      <x:c r="F99" s="24" t="str">
        <x:v>pink; blue; purple; green; yellow; brown; red</x:v>
      </x:c>
      <x:c r="G99" s="24" t="str">
        <x:v>3 / 3 / 3 / 3</x:v>
      </x:c>
      <x:c r="H99" s="24" t="str">
        <x:v>12 / 3.00</x:v>
      </x:c>
      <x:c r="I99" s="24" t="str">
        <x:v>Good use of color variety, but the idea is simple and minimally elaborated.</x:v>
      </x:c>
    </x:row>
    <x:row r="100" ht="82.5" customHeight="1">
      <x:c r="A100" s="24" t="str">
        <x:v>S099</x:v>
      </x:c>
      <x:c r="B100" s="24" t="str"/>
      <x:c r="C100" s="24" t="str">
        <x:v>Flower with expressive face and background scene</x:v>
      </x:c>
      <x:c r="D100" s="24" t="str">
        <x:v>The circle becomes the face of a flower with many pink petals, expressive eyes and a large open mouth with visible teeth. Blue wavy lines and green vertical lines appear in the background.</x:v>
      </x:c>
      <x:c r="E100" s="24" t="str">
        <x:v>flower-character transformation</x:v>
      </x:c>
      <x:c r="F100" s="24" t="str">
        <x:v>pink; yellow; blue; green; black/gray</x:v>
      </x:c>
      <x:c r="G100" s="24" t="str">
        <x:v>4 / 4 / 5 / 4</x:v>
      </x:c>
      <x:c r="H100" s="24" t="str">
        <x:v>17 / 4.25</x:v>
      </x:c>
      <x:c r="I100" s="24" t="str">
        <x:v>Expressive character design and added background context give this response strong imagination and elaboration.</x:v>
      </x:c>
    </x:row>
    <x:row r="101" ht="82.5" customHeight="1">
      <x:c r="A101" s="24" t="str">
        <x:v>S100</x:v>
      </x:c>
      <x:c r="B101" s="24" t="str"/>
      <x:c r="C101" s="24" t="str">
        <x:v>Multicolored wheel or pinwheel with handle</x:v>
      </x:c>
      <x:c r="D101" s="24" t="str">
        <x:v>The circle is divided into many narrow multicolored radial sections converging at a central dark point, and a brown vertical handle extends from the top.</x:v>
      </x:c>
      <x:c r="E101" s="24" t="str">
        <x:v>radial play-object transformation</x:v>
      </x:c>
      <x:c r="F101" s="24" t="str">
        <x:v>blue; pink; green; red; yellow; brown; purple</x:v>
      </x:c>
      <x:c r="G101" s="24" t="str">
        <x:v>3 / 4 / 5 / 3</x:v>
      </x:c>
      <x:c r="H101" s="24" t="str">
        <x:v>15 / 3.75</x:v>
      </x:c>
      <x:c r="I101" s="24" t="str">
        <x:v>The dense segment pattern gives strong elaboration, though the underlying idea is similar to other wheel-like responses.</x:v>
      </x:c>
    </x:row>
    <x:row r="102" ht="82.5" customHeight="1">
      <x:c r="A102" s="24" t="str">
        <x:v>S101</x:v>
      </x:c>
      <x:c r="B102" s="24" t="str"/>
      <x:c r="C102" s="24" t="str">
        <x:v>Smiling sun with multicolored rays and background motifs</x:v>
      </x:c>
      <x:c r="D102" s="24" t="str">
        <x:v>Smiling sun face, many colored pointed rays, blue ray-tip dots, faint clouds and small background motifs</x:v>
      </x:c>
      <x:c r="E102" s="24" t="str">
        <x:v>sun-character scene transformation</x:v>
      </x:c>
      <x:c r="F102" s="24" t="str">
        <x:v>yellow; blue; purple; orange; pink; red; green; black</x:v>
      </x:c>
      <x:c r="G102" s="24" t="str">
        <x:v>4 / 5 / 4 / 4</x:v>
      </x:c>
      <x:c r="H102" s="24" t="str">
        <x:v>17 / 4.25</x:v>
      </x:c>
      <x:c r="I102" s="24" t="str">
        <x:v>Strong elaboration and color variety; originality is good although the sun concept is familiar.</x:v>
      </x:c>
    </x:row>
    <x:row r="103" ht="82.5" customHeight="1">
      <x:c r="A103" s="24" t="str">
        <x:v>S102</x:v>
      </x:c>
      <x:c r="B103" s="24" t="str"/>
      <x:c r="C103" s="24" t="str">
        <x:v>Flower or sunflower-like form in a simple landscape</x:v>
      </x:c>
      <x:c r="D103" s="24" t="str">
        <x:v>Large red-brown center, yellow scalloped petals, green stem and triangular side forms</x:v>
      </x:c>
      <x:c r="E103" s="24" t="str">
        <x:v>flower/plant transformation</x:v>
      </x:c>
      <x:c r="F103" s="24" t="str">
        <x:v>red; brown; yellow; green; gray</x:v>
      </x:c>
      <x:c r="G103" s="24" t="str">
        <x:v>3 / 4 / 3 / 3</x:v>
      </x:c>
      <x:c r="H103" s="24" t="str">
        <x:v>13 / 3.25</x:v>
      </x:c>
      <x:c r="I103" s="24" t="str">
        <x:v>Clear and reasonably detailed flower transformation with limited idea variety.</x:v>
      </x:c>
    </x:row>
    <x:row r="104" ht="82.5" customHeight="1">
      <x:c r="A104" s="24" t="str">
        <x:v>S103</x:v>
      </x:c>
      <x:c r="B104" s="24" t="str"/>
      <x:c r="C104" s="24" t="str">
        <x:v>Fantasy garden or decorated ice-cream-cone scene</x:v>
      </x:c>
      <x:c r="D104" s="24" t="str">
        <x:v>Decorated purple central form with cone-like base plus clouds, sun, hearts, plants and many surrounding objects</x:v>
      </x:c>
      <x:c r="E104" s="24" t="str">
        <x:v>fantasy object-in-scene transformation</x:v>
      </x:c>
      <x:c r="F104" s="24" t="str">
        <x:v>purple; pink; green; blue; yellow; brown; red; orange</x:v>
      </x:c>
      <x:c r="G104" s="24" t="str">
        <x:v>5 / 5 / 5 / 5</x:v>
      </x:c>
      <x:c r="H104" s="24" t="str">
        <x:v>20 / 5.00</x:v>
      </x:c>
      <x:c r="I104" s="24" t="str">
        <x:v>Very strong transformation, imagination, elaboration and idea variety.</x:v>
      </x:c>
    </x:row>
    <x:row r="105" ht="82.5" customHeight="1">
      <x:c r="A105" s="24" t="str">
        <x:v>S104</x:v>
      </x:c>
      <x:c r="B105" s="24" t="str"/>
      <x:c r="C105" s="24" t="str">
        <x:v>Smiling sun above a small garden or village scene</x:v>
      </x:c>
      <x:c r="D105" s="24" t="str">
        <x:v>Sun face and rays with blue clouds, green ground, tree/plant forms, flowers and small structures</x:v>
      </x:c>
      <x:c r="E105" s="24" t="str">
        <x:v>sun-and-landscape transformation</x:v>
      </x:c>
      <x:c r="F105" s="24" t="str">
        <x:v>yellow; blue; green; brown; red; black</x:v>
      </x:c>
      <x:c r="G105" s="24" t="str">
        <x:v>4 / 4 / 4 / 4</x:v>
      </x:c>
      <x:c r="H105" s="24" t="str">
        <x:v>16 / 4.00</x:v>
      </x:c>
      <x:c r="I105" s="24" t="str">
        <x:v>Familiar sun idea strengthened by coherent environmental scene building.</x:v>
      </x:c>
    </x:row>
    <x:row r="106" ht="82.5" customHeight="1">
      <x:c r="A106" s="24" t="str">
        <x:v>S105</x:v>
      </x:c>
      <x:c r="B106" s="24" t="str"/>
      <x:c r="C106" s="24" t="str">
        <x:v>Decorative sun with heart-patterned rays and sky symbols</x:v>
      </x:c>
      <x:c r="D106" s="24" t="str">
        <x:v>Expressive sun face, long rays decorated with hearts, clouds, rainbow-like arcs and crescent forms</x:v>
      </x:c>
      <x:c r="E106" s="24" t="str">
        <x:v>decorative sun-character transformation</x:v>
      </x:c>
      <x:c r="F106" s="24" t="str">
        <x:v>yellow; pink; blue; green; red; black</x:v>
      </x:c>
      <x:c r="G106" s="24" t="str">
        <x:v>4 / 5 / 5 / 5</x:v>
      </x:c>
      <x:c r="H106" s="24" t="str">
        <x:v>19 / 4.75</x:v>
      </x:c>
      <x:c r="I106" s="24" t="str">
        <x:v>Unusual heart-patterned rays and varied sky symbols show strong imagination and flexibility.</x:v>
      </x:c>
    </x:row>
    <x:row r="107" ht="82.5" customHeight="1">
      <x:c r="A107" s="24" t="str">
        <x:v>S106</x:v>
      </x:c>
      <x:c r="B107" s="24" t="str"/>
      <x:c r="C107" s="24" t="str">
        <x:v>Colorful flower character with rainbow and surrounding symbols</x:v>
      </x:c>
      <x:c r="D107" s="24" t="str">
        <x:v>Red flower face, large multicolored petals, rainbow, ground and surrounding marks</x:v>
      </x:c>
      <x:c r="E107" s="24" t="str">
        <x:v>flower-character scene transformation</x:v>
      </x:c>
      <x:c r="F107" s="24" t="str">
        <x:v>red; purple; pink; green; blue; orange; yellow</x:v>
      </x:c>
      <x:c r="G107" s="24" t="str">
        <x:v>4 / 4 / 4 / 4</x:v>
      </x:c>
      <x:c r="H107" s="24" t="str">
        <x:v>16 / 4.00</x:v>
      </x:c>
      <x:c r="I107" s="24" t="str">
        <x:v>Visually rich flower character with good scene support and moderate originality.</x:v>
      </x:c>
    </x:row>
    <x:row r="108" ht="82.5" customHeight="1">
      <x:c r="A108" s="24" t="str">
        <x:v>S107</x:v>
      </x:c>
      <x:c r="B108" s="24" t="str"/>
      <x:c r="C108" s="24" t="str">
        <x:v>Simple smiling sun against a blue sky</x:v>
      </x:c>
      <x:c r="D108" s="24" t="str">
        <x:v>Yellow smiling sun, short dark rays and blue-filled background</x:v>
      </x:c>
      <x:c r="E108" s="24" t="str">
        <x:v>sun transformation</x:v>
      </x:c>
      <x:c r="F108" s="24" t="str">
        <x:v>yellow; blue; black</x:v>
      </x:c>
      <x:c r="G108" s="24" t="str">
        <x:v>2 / 3 / 3 / 2</x:v>
      </x:c>
      <x:c r="H108" s="24" t="str">
        <x:v>10 / 2.50</x:v>
      </x:c>
      <x:c r="I108" s="24" t="str">
        <x:v>Clear and complete but conventional, with limited idea variety.</x:v>
      </x:c>
    </x:row>
    <x:row r="109" ht="82.5" customHeight="1">
      <x:c r="A109" s="24" t="str">
        <x:v>S108</x:v>
      </x:c>
      <x:c r="B109" s="24" t="str"/>
      <x:c r="C109" s="24" t="str">
        <x:v>Sun with dense rays in a fully colored blue sky</x:v>
      </x:c>
      <x:c r="D109" s="24" t="str">
        <x:v>Yellow circular sun, many dark radiating lines and dense blue background</x:v>
      </x:c>
      <x:c r="E109" s="24" t="str">
        <x:v>sun transformation</x:v>
      </x:c>
      <x:c r="F109" s="24" t="str">
        <x:v>yellow; blue; black</x:v>
      </x:c>
      <x:c r="G109" s="24" t="str">
        <x:v>2 / 3 / 3 / 2</x:v>
      </x:c>
      <x:c r="H109" s="24" t="str">
        <x:v>10 / 2.50</x:v>
      </x:c>
      <x:c r="I109" s="24" t="str">
        <x:v>Bold visually, but originality and flexibility are limited by the standard sun interpretation.</x:v>
      </x:c>
    </x:row>
    <x:row r="110" ht="82.5" customHeight="1">
      <x:c r="A110" s="24" t="str">
        <x:v>S109</x:v>
      </x:c>
      <x:c r="B110" s="24" t="str"/>
      <x:c r="C110" s="24" t="str">
        <x:v>Child character in a detailed outdoor scene</x:v>
      </x:c>
      <x:c r="D110" s="24" t="str">
        <x:v>Large face with hair, blue body, ground, house, tree, flowers, clouds and small character forms</x:v>
      </x:c>
      <x:c r="E110" s="24" t="str">
        <x:v>human-character scene transformation</x:v>
      </x:c>
      <x:c r="F110" s="24" t="str">
        <x:v>skin tone; black; blue; green; brown; red; pink</x:v>
      </x:c>
      <x:c r="G110" s="24" t="str">
        <x:v>4 / 5 / 5 / 5</x:v>
      </x:c>
      <x:c r="H110" s="24" t="str">
        <x:v>19 / 4.75</x:v>
      </x:c>
      <x:c r="I110" s="24" t="str">
        <x:v>Strong elaboration and flexibility from the many integrated scene elements.</x:v>
      </x:c>
    </x:row>
    <x:row r="111" ht="82.5" customHeight="1">
      <x:c r="A111" s="24" t="str">
        <x:v>S110</x:v>
      </x:c>
      <x:c r="B111" s="24" t="str"/>
      <x:c r="C111" s="24" t="str">
        <x:v>Composite fantasy scene inside a bear-like circular frame</x:v>
      </x:c>
      <x:c r="D111" s="24" t="str">
        <x:v>Circle split into contrasting areas with ear-like additions; tiny flower, crescent, sun, person/object and plant details</x:v>
      </x:c>
      <x:c r="E111" s="24" t="str">
        <x:v>composite scene transformation</x:v>
      </x:c>
      <x:c r="F111" s="24" t="str">
        <x:v>red; beige; yellow; brown; green; pink; black</x:v>
      </x:c>
      <x:c r="G111" s="24" t="str">
        <x:v>5 / 5 / 5 / 5</x:v>
      </x:c>
      <x:c r="H111" s="24" t="str">
        <x:v>20 / 5.00</x:v>
      </x:c>
      <x:c r="I111" s="24" t="str">
        <x:v>Complex reinterpretation with multiple mini-scenes and strong symbolic variety.</x:v>
      </x:c>
    </x:row>
    <x:row r="112" ht="82.5" customHeight="1">
      <x:c r="A112" s="24" t="str">
        <x:v>S111</x:v>
      </x:c>
      <x:c r="B112" s="24" t="str"/>
      <x:c r="C112" s="24" t="str">
        <x:v>Large flower character with heart-shaped multicolored petals</x:v>
      </x:c>
      <x:c r="D112" s="24" t="str">
        <x:v>Pale flower face, many heart-shaped petals in different colors and a substantially brown-filled background</x:v>
      </x:c>
      <x:c r="E112" s="24" t="str">
        <x:v>flower-character transformation</x:v>
      </x:c>
      <x:c r="F112" s="24" t="str">
        <x:v>light blue; purple; pink; orange; cream; brown; green</x:v>
      </x:c>
      <x:c r="G112" s="24" t="str">
        <x:v>4 / 4 / 4 / 4</x:v>
      </x:c>
      <x:c r="H112" s="24" t="str">
        <x:v>16 / 4.00</x:v>
      </x:c>
      <x:c r="I112" s="24" t="str">
        <x:v>Familiar flower idea enhanced by heart-shaped petals, color variety and full composition.</x:v>
      </x:c>
    </x:row>
    <x:row r="113" ht="82.5" customHeight="1">
      <x:c r="A113" s="24" t="str">
        <x:v>S112</x:v>
      </x:c>
      <x:c r="B113" s="24" t="str"/>
      <x:c r="C113" s="24" t="str">
        <x:v>Orange fruit-like circular object with leaf</x:v>
      </x:c>
      <x:c r="D113" s="24" t="str">
        <x:v>Circle filled orange; small green leaf and brown stem added at one side; one small gray detail inside</x:v>
      </x:c>
      <x:c r="E113" s="24" t="str">
        <x:v>fruit transformation</x:v>
      </x:c>
      <x:c r="F113" s="24" t="str">
        <x:v>orange; green; brown; gray</x:v>
      </x:c>
      <x:c r="G113" s="24" t="str">
        <x:v>3 / 2 / 2 / 2</x:v>
      </x:c>
      <x:c r="H113" s="24" t="str">
        <x:v>9 / 2.25</x:v>
      </x:c>
      <x:c r="I113" s="24" t="str">
        <x:v>The circle is clearly transformed into a fruit-like object, but elaboration and idea variety are limited.</x:v>
      </x:c>
    </x:row>
    <x:row r="114" ht="82.5" customHeight="1">
      <x:c r="A114" s="24" t="str">
        <x:v>S113</x:v>
      </x:c>
      <x:c r="B114" s="24" t="str"/>
      <x:c r="C114" s="24" t="str">
        <x:v>Fantasy tree and nature character scene</x:v>
      </x:c>
      <x:c r="D114" s="24" t="str">
        <x:v>Circle contains a layered green leaf/tree-like form with blue border; large tree trunk and canopy, blue character face and several small branch/plant details are added</x:v>
      </x:c>
      <x:c r="E114" s="24" t="str">
        <x:v>fantasy nature scene transformation</x:v>
      </x:c>
      <x:c r="F114" s="24" t="str">
        <x:v>green; blue; brown; red; black</x:v>
      </x:c>
      <x:c r="G114" s="24" t="str">
        <x:v>5 / 5 / 5 / 5</x:v>
      </x:c>
      <x:c r="H114" s="24" t="str">
        <x:v>20 / 5.00</x:v>
      </x:c>
      <x:c r="I114" s="24" t="str">
        <x:v>A highly transformed and detailed response with strong imagination, elaboration and multiple integrated ideas.</x:v>
      </x:c>
    </x:row>
    <x:row r="115" ht="82.5" customHeight="1">
      <x:c r="A115" s="24" t="str">
        <x:v>S114</x:v>
      </x:c>
      <x:c r="B115" s="24" t="str"/>
      <x:c r="C115" s="24" t="str">
        <x:v>Green circular object in a simple outdoor landscape</x:v>
      </x:c>
      <x:c r="D115" s="24" t="str">
        <x:v>Large light-green circle with a triangular extension; a tree, ground/edge bands and small plant marks appear in the surrounding scene</x:v>
      </x:c>
      <x:c r="E115" s="24" t="str">
        <x:v>object-in-landscape transformation</x:v>
      </x:c>
      <x:c r="F115" s="24" t="str">
        <x:v>light green; red; brown; dark green</x:v>
      </x:c>
      <x:c r="G115" s="24" t="str">
        <x:v>3 / 3 / 3 / 3</x:v>
      </x:c>
      <x:c r="H115" s="24" t="str">
        <x:v>12 / 3.00</x:v>
      </x:c>
      <x:c r="I115" s="24" t="str">
        <x:v>The scene contains useful contextual additions, though the main transformation is ambiguous and moderately elaborated.</x:v>
      </x:c>
    </x:row>
    <x:row r="116" ht="82.5" customHeight="1">
      <x:c r="A116" s="24" t="str">
        <x:v>S115</x:v>
      </x:c>
      <x:c r="B116" s="24" t="str"/>
      <x:c r="C116" s="24" t="str">
        <x:v>Smiling orange sun with clouds and decorative shapes</x:v>
      </x:c>
      <x:c r="D116" s="24" t="str">
        <x:v>Circle becomes an orange smiling sun with many triangular rays; repeated blue cloud forms and purple-blue decorative shapes surround it</x:v>
      </x:c>
      <x:c r="E116" s="24" t="str">
        <x:v>sun scene transformation</x:v>
      </x:c>
      <x:c r="F116" s="24" t="str">
        <x:v>orange; blue; purple; black</x:v>
      </x:c>
      <x:c r="G116" s="24" t="str">
        <x:v>3 / 4 / 3 / 3</x:v>
      </x:c>
      <x:c r="H116" s="24" t="str">
        <x:v>13 / 3.25</x:v>
      </x:c>
      <x:c r="I116" s="24" t="str">
        <x:v>A clear and complete sun transformation with good elaboration, but moderate originality because the concept is familiar.</x:v>
      </x:c>
    </x:row>
    <x:row r="117" ht="82.5" customHeight="1">
      <x:c r="A117" s="24" t="str">
        <x:v>S116</x:v>
      </x:c>
      <x:c r="B117" s="24" t="str"/>
      <x:c r="C117" s="24" t="str">
        <x:v>Flower character with multicolored heart-like petals</x:v>
      </x:c>
      <x:c r="D117" s="24" t="str">
        <x:v>Circle becomes a face surrounded by large heart-shaped or rounded petals in several colors; light heart doodles appear in the background</x:v>
      </x:c>
      <x:c r="E117" s="24" t="str">
        <x:v>flower-character transformation</x:v>
      </x:c>
      <x:c r="F117" s="24" t="str">
        <x:v>cream; blue; pink; orange; peach; black</x:v>
      </x:c>
      <x:c r="G117" s="24" t="str">
        <x:v>4 / 4 / 4 / 4</x:v>
      </x:c>
      <x:c r="H117" s="24" t="str">
        <x:v>16 / 4.00</x:v>
      </x:c>
      <x:c r="I117" s="24" t="str">
        <x:v>The response shows good decorative elaboration and a distinctive flower character, though the main concept remains familiar.</x:v>
      </x:c>
    </x:row>
    <x:row r="118" ht="82.5" customHeight="1">
      <x:c r="A118" s="24" t="str">
        <x:v>S117</x:v>
      </x:c>
      <x:c r="B118" s="24" t="str"/>
      <x:c r="C118" s="24" t="str">
        <x:v>Smiling flower with long pink petals</x:v>
      </x:c>
      <x:c r="D118" s="24" t="str">
        <x:v>Yellow circular face with a smile surrounded by many long pink-red petals with dark outlines and inner petal details</x:v>
      </x:c>
      <x:c r="E118" s="24" t="str">
        <x:v>flower-character transformation</x:v>
      </x:c>
      <x:c r="F118" s="24" t="str">
        <x:v>yellow; pink; red; black</x:v>
      </x:c>
      <x:c r="G118" s="24" t="str">
        <x:v>3 / 4 / 3 / 3</x:v>
      </x:c>
      <x:c r="H118" s="24" t="str">
        <x:v>13 / 3.25</x:v>
      </x:c>
      <x:c r="I118" s="24" t="str">
        <x:v>Good visual elaboration in the petals and face, with moderate originality and limited idea variety.</x:v>
      </x:c>
    </x:row>
    <x:row r="119" ht="82.5" customHeight="1">
      <x:c r="A119" s="24" t="str">
        <x:v>S118</x:v>
      </x:c>
      <x:c r="B119" s="24" t="str"/>
      <x:c r="C119" s="24" t="str">
        <x:v>Orange sun surrounded by blue cloud-like forms</x:v>
      </x:c>
      <x:c r="D119" s="24" t="str">
        <x:v>Circle becomes a large orange sun with many pointed rays; numerous blue cloud-like shapes are distributed around the page</x:v>
      </x:c>
      <x:c r="E119" s="24" t="str">
        <x:v>sun-and-cloud scene transformation</x:v>
      </x:c>
      <x:c r="F119" s="24" t="str">
        <x:v>orange; blue; black</x:v>
      </x:c>
      <x:c r="G119" s="24" t="str">
        <x:v>3 / 4 / 3 / 3</x:v>
      </x:c>
      <x:c r="H119" s="24" t="str">
        <x:v>13 / 3.25</x:v>
      </x:c>
      <x:c r="I119" s="24" t="str">
        <x:v>The drawing is well elaborated as a sky scene, though originality is moderate because the sun concept is common.</x:v>
      </x:c>
    </x:row>
    <x:row r="120" ht="82.5" customHeight="1">
      <x:c r="A120" s="24" t="str">
        <x:v>S119</x:v>
      </x:c>
      <x:c r="B120" s="24" t="str"/>
      <x:c r="C120" s="24" t="str">
        <x:v>Human face embedded in a multicolored flower</x:v>
      </x:c>
      <x:c r="D120" s="24" t="str">
        <x:v>Circle becomes a shaded human-like face with detailed eyes and mouth; many differently colored petals surround it; the page background is divided into pink and pale green regions</x:v>
      </x:c>
      <x:c r="E120" s="24" t="str">
        <x:v>portrait-flower hybrid transformation</x:v>
      </x:c>
      <x:c r="F120" s="24" t="str">
        <x:v>gray; brown; red; purple; pink; orange; green; blue</x:v>
      </x:c>
      <x:c r="G120" s="24" t="str">
        <x:v>5 / 5 / 5 / 4</x:v>
      </x:c>
      <x:c r="H120" s="24" t="str">
        <x:v>19 / 4.75</x:v>
      </x:c>
      <x:c r="I120" s="24" t="str">
        <x:v>A highly original hybrid transformation with strong elaboration, imaginative character design and broad visual variation.</x:v>
      </x:c>
    </x:row>
    <x:row r="121" ht="82.5" customHeight="1">
      <x:c r="A121" s="24" t="str">
        <x:v>S120</x:v>
      </x:c>
      <x:c r="B121" s="24" t="str"/>
      <x:c r="C121" s="24" t="str">
        <x:v>Large flower with blue center and pink petals</x:v>
      </x:c>
      <x:c r="D121" s="24" t="str">
        <x:v>Circle is filled blue and surrounded by large pink petals; a vertical green border/ground element is added at one side</x:v>
      </x:c>
      <x:c r="E121" s="24" t="str">
        <x:v>flower transformation</x:v>
      </x:c>
      <x:c r="F121" s="24" t="str">
        <x:v>blue; pink; green; white</x:v>
      </x:c>
      <x:c r="G121" s="24" t="str">
        <x:v>3 / 3 / 3 / 3</x:v>
      </x:c>
      <x:c r="H121" s="24" t="str">
        <x:v>12 / 3.00</x:v>
      </x:c>
      <x:c r="I121" s="24" t="str">
        <x:v>Clear flower transformation with moderate detail, but limited originality and flexibility.</x:v>
      </x:c>
    </x:row>
    <x:row r="122" ht="82.5" customHeight="1">
      <x:c r="A122" s="24" t="str">
        <x:v>S121</x:v>
      </x:c>
      <x:c r="B122" s="24" t="str"/>
      <x:c r="C122" s="24" t="str">
        <x:v>Bear-like animal character with large body and decorative background</x:v>
      </x:c>
      <x:c r="D122" s="24" t="str">
        <x:v>Circle becomes a brown animal face with eyes, nose and round ears; a large brown-orange body-like form is attached below; small blue heart shapes and faint surrounding outlines are added</x:v>
      </x:c>
      <x:c r="E122" s="24" t="str">
        <x:v>animal-character transformation</x:v>
      </x:c>
      <x:c r="F122" s="24" t="str">
        <x:v>brown; orange; blue; black</x:v>
      </x:c>
      <x:c r="G122" s="24" t="str">
        <x:v>4 / 4 / 4 / 4</x:v>
      </x:c>
      <x:c r="H122" s="24" t="str">
        <x:v>16 / 4.00</x:v>
      </x:c>
      <x:c r="I122" s="24" t="str">
        <x:v>The circle is transformed into a recognizable animal character with good elaboration and imaginative supporting details.</x:v>
      </x:c>
    </x:row>
  </x:sheetData>
  <x:pageMargins left="0.7" right="0.7" top="0.75" bottom="0.75" header="0.3" footer="0.3"/>
  <x:drawing xmlns:r="http://schemas.openxmlformats.org/officeDocument/2006/relationships" r:id="R23d3903e7aed4a91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1" hidden="0" customWidth="1"/>
    <x:col min="4" max="4" width="31" hidden="0" customWidth="1"/>
    <x:col min="5" max="5" width="24" hidden="0" customWidth="1"/>
    <x:col min="6" max="6" width="36" hidden="0" customWidth="1"/>
    <x:col min="7" max="7" width="36" hidden="0" customWidth="1"/>
  </x:cols>
  <x:sheetData>
    <x:row r="1">
      <x:c r="A1" s="50" t="str">
        <x:v>PC01 Scoring, Field Definitions, and Human Validation Guide</x:v>
      </x:c>
      <x:c r="B1" s="50"/>
      <x:c r="C1" s="50"/>
      <x:c r="D1" s="50"/>
      <x:c r="E1" s="50"/>
      <x:c r="F1" s="50"/>
      <x:c r="G1" s="50"/>
    </x:row>
    <x:row r="2">
      <x:c r="A2" s="50"/>
      <x:c r="B2" s="50"/>
      <x:c r="C2" s="50"/>
      <x:c r="D2" s="50"/>
      <x:c r="E2" s="50"/>
      <x:c r="F2" s="50"/>
      <x:c r="G2" s="50"/>
    </x:row>
    <x:row r="3">
      <x:c r="A3" s="17"/>
      <x:c r="B3" s="17"/>
      <x:c r="C3" s="17"/>
      <x:c r="D3" s="17"/>
      <x:c r="E3" s="17"/>
      <x:c r="F3" s="17"/>
      <x:c r="G3" s="17"/>
    </x:row>
    <x:row r="4">
      <x:c r="A4" s="16" t="str">
        <x:v>Field / Construct</x:v>
      </x:c>
      <x:c r="B4" s="16" t="str">
        <x:v>What it records</x:v>
      </x:c>
      <x:c r="C4" s="16" t="str">
        <x:v>Current source</x:v>
      </x:c>
      <x:c r="D4" s="16" t="str">
        <x:v>Recommended final source</x:v>
      </x:c>
      <x:c r="E4" s="16" t="str">
        <x:v>Allowed values</x:v>
      </x:c>
      <x:c r="F4" s="16" t="str">
        <x:v>Use in model</x:v>
      </x:c>
      <x:c r="G4" s="16" t="str">
        <x:v>Important note</x:v>
      </x:c>
    </x:row>
    <x:row r="5">
      <x:c r="A5" s="51" t="str">
        <x:v>interpreted_subject</x:v>
      </x:c>
      <x:c r="B5" s="24" t="str">
        <x:v>What the drawing appears to represent.</x:v>
      </x:c>
      <x:c r="C5" s="24" t="str">
        <x:v>Visual descriptive review</x:v>
      </x:c>
      <x:c r="D5" s="24" t="str">
        <x:v>Optional teacher/child confirmation</x:v>
      </x:c>
      <x:c r="E5" s="24" t="str">
        <x:v>Text</x:v>
      </x:c>
      <x:c r="F5" s="24" t="str">
        <x:v>Metadata / analysis</x:v>
      </x:c>
      <x:c r="G5" s="24" t="str">
        <x:v>Interpretation can be uncertain without the child's explanation.</x:v>
      </x:c>
    </x:row>
    <x:row r="6">
      <x:c r="A6" s="51" t="str">
        <x:v>colors_observed</x:v>
      </x:c>
      <x:c r="B6" s="24" t="str">
        <x:v>Main visible color categories in the drawing.</x:v>
      </x:c>
      <x:c r="C6" s="24" t="str">
        <x:v>Visual descriptive review</x:v>
      </x:c>
      <x:c r="D6" s="24" t="str">
        <x:v>Image processing or verified rater coding</x:v>
      </x:c>
      <x:c r="E6" s="24" t="str">
        <x:v>Text</x:v>
      </x:c>
      <x:c r="F6" s="24" t="str">
        <x:v>Optional feature / metadata</x:v>
      </x:c>
      <x:c r="G6" s="24" t="str">
        <x:v>Not a creativity score.</x:v>
      </x:c>
    </x:row>
    <x:row r="7">
      <x:c r="A7" s="51" t="str">
        <x:v>approx_color_count</x:v>
      </x:c>
      <x:c r="B7" s="24" t="str">
        <x:v>Approximate number of distinct visible colors.</x:v>
      </x:c>
      <x:c r="C7" s="24" t="str">
        <x:v>Visual descriptive review</x:v>
      </x:c>
      <x:c r="D7" s="24" t="str">
        <x:v>Automated pixel-based method or verified coding</x:v>
      </x:c>
      <x:c r="E7" s="24" t="str">
        <x:v>Integer</x:v>
      </x:c>
      <x:c r="F7" s="24" t="str">
        <x:v>Optional feature</x:v>
      </x:c>
      <x:c r="G7" s="24" t="str">
        <x:v>Approximate, not a calibrated colorimetry measure.</x:v>
      </x:c>
    </x:row>
    <x:row r="8">
      <x:c r="A8" s="51" t="str">
        <x:v>observable_elements</x:v>
      </x:c>
      <x:c r="B8" s="24" t="str">
        <x:v>Visible additions, objects, facial features, scenery, or contextual elements.</x:v>
      </x:c>
      <x:c r="C8" s="24" t="str">
        <x:v>Visual descriptive review</x:v>
      </x:c>
      <x:c r="D8" s="24" t="str">
        <x:v>Human rater coding</x:v>
      </x:c>
      <x:c r="E8" s="24" t="str">
        <x:v>Text</x:v>
      </x:c>
      <x:c r="F8" s="24" t="str">
        <x:v>Useful explanatory metadata</x:v>
      </x:c>
      <x:c r="G8" s="24" t="str">
        <x:v>Describes what is visible, not why the child drew it.</x:v>
      </x:c>
    </x:row>
    <x:row r="9">
      <x:c r="A9" s="51" t="str">
        <x:v>transformation_type</x:v>
      </x:c>
      <x:c r="B9" s="24" t="str">
        <x:v>How the original circle was transformed into a meaningful idea/object.</x:v>
      </x:c>
      <x:c r="C9" s="24" t="str">
        <x:v>Visual descriptive review</x:v>
      </x:c>
      <x:c r="D9" s="24" t="str">
        <x:v>Human rater confirmation</x:v>
      </x:c>
      <x:c r="E9" s="24" t="str">
        <x:v>Text</x:v>
      </x:c>
      <x:c r="F9" s="24" t="str">
        <x:v>Useful explanatory metadata</x:v>
      </x:c>
      <x:c r="G9" s="24" t="str">
        <x:v>Supports interpretation of idea transformation.</x:v>
      </x:c>
    </x:row>
    <x:row r="10">
      <x:c r="A10" s="51" t="str">
        <x:v>elaboration_evidence</x:v>
      </x:c>
      <x:c r="B10" s="24" t="str">
        <x:v>Visible details added beyond the starting circle.</x:v>
      </x:c>
      <x:c r="C10" s="24" t="str">
        <x:v>Visual descriptive review</x:v>
      </x:c>
      <x:c r="D10" s="24" t="str">
        <x:v>Validated human rubric</x:v>
      </x:c>
      <x:c r="E10" s="24" t="str">
        <x:v>Text</x:v>
      </x:c>
      <x:c r="F10" s="24" t="str">
        <x:v>Supports elaboration label</x:v>
      </x:c>
      <x:c r="G10" s="24" t="str">
        <x:v>Final scoring criteria should be defined before data collection.</x:v>
      </x:c>
    </x:row>
    <x:row r="11">
      <x:c r="A11" s="51" t="str">
        <x:v>originality</x:v>
      </x:c>
      <x:c r="B11" s="24" t="str">
        <x:v>Novelty/distinctiveness of the response relative to an appropriate reference sample.</x:v>
      </x:c>
      <x:c r="C11" s="24" t="str">
        <x:v>Preliminary 1–5 visual review</x:v>
      </x:c>
      <x:c r="D11" s="24" t="str">
        <x:v>Validated human rating or frequency-based rule</x:v>
      </x:c>
      <x:c r="E11" s="24" t="str">
        <x:v>1–5</x:v>
      </x:c>
      <x:c r="F11" s="24" t="str">
        <x:v>Prediction target</x:v>
      </x:c>
      <x:c r="G11" s="24" t="str">
        <x:v>Originality should ideally be defined relative to the full sample, not a single image alone.</x:v>
      </x:c>
    </x:row>
    <x:row r="12">
      <x:c r="A12" s="51" t="str">
        <x:v>elaboration</x:v>
      </x:c>
      <x:c r="B12" s="24" t="str">
        <x:v>Amount and meaningfulness of added detail.</x:v>
      </x:c>
      <x:c r="C12" s="24" t="str">
        <x:v>Preliminary 1–5 visual review</x:v>
      </x:c>
      <x:c r="D12" s="24" t="str">
        <x:v>Validated human rating</x:v>
      </x:c>
      <x:c r="E12" s="24" t="str">
        <x:v>1–5</x:v>
      </x:c>
      <x:c r="F12" s="24" t="str">
        <x:v>Prediction target</x:v>
      </x:c>
      <x:c r="G12" s="24" t="str">
        <x:v>Use a clearly defined scoring rubric.</x:v>
      </x:c>
    </x:row>
    <x:row r="13">
      <x:c r="A13" s="51" t="str">
        <x:v>imagination</x:v>
      </x:c>
      <x:c r="B13" s="24" t="str">
        <x:v>Extent to which the child develops the prompt into an imaginative concept.</x:v>
      </x:c>
      <x:c r="C13" s="24" t="str">
        <x:v>Preliminary 1–5 visual review</x:v>
      </x:c>
      <x:c r="D13" s="24" t="str">
        <x:v>Validated human rating</x:v>
      </x:c>
      <x:c r="E13" s="24" t="str">
        <x:v>1–5</x:v>
      </x:c>
      <x:c r="F13" s="24" t="str">
        <x:v>Prediction target</x:v>
      </x:c>
      <x:c r="G13" s="24" t="str">
        <x:v>Operational definition should be literature/expert validated.</x:v>
      </x:c>
    </x:row>
    <x:row r="14">
      <x:c r="A14" s="51" t="str">
        <x:v>flexibility</x:v>
      </x:c>
      <x:c r="B14" s="24" t="str">
        <x:v>Ability to produce varied categories or perspectives.</x:v>
      </x:c>
      <x:c r="C14" s="24" t="str">
        <x:v>Single-image proxy only</x:v>
      </x:c>
      <x:c r="D14" s="24" t="str">
        <x:v>Multiple responses/prompts per child</x:v>
      </x:c>
      <x:c r="E14" s="24" t="str">
        <x:v>1–5</x:v>
      </x:c>
      <x:c r="F14" s="24" t="str">
        <x:v>Prediction target only after valid measurement</x:v>
      </x:c>
      <x:c r="G14" s="24" t="str">
        <x:v>Flexibility is difficult to measure from one drawing; multiple responses are preferable.</x:v>
      </x:c>
    </x:row>
    <x:row r="15">
      <x:c r="A15" s="51" t="str">
        <x:v>child_explanation</x:v>
      </x:c>
      <x:c r="B15" s="24" t="str">
        <x:v>Child's own explanation of what was drawn and why.</x:v>
      </x:c>
      <x:c r="C15" s="24" t="str">
        <x:v>Blank / not yet collected</x:v>
      </x:c>
      <x:c r="D15" s="24" t="str">
        <x:v>Child interview/teacher record</x:v>
      </x:c>
      <x:c r="E15" s="24" t="str">
        <x:v>Text</x:v>
      </x:c>
      <x:c r="F15" s="24" t="str">
        <x:v>Strong contextual feature</x:v>
      </x:c>
      <x:c r="G15" s="24" t="str">
        <x:v>Helps reduce misinterpretation of drawings.</x:v>
      </x:c>
    </x:row>
    <x:row r="16">
      <x:c r="A16" s="51" t="str">
        <x:v>teacher_observation</x:v>
      </x:c>
      <x:c r="B16" s="24" t="str">
        <x:v>Teacher notes about approach, engagement, process, or context.</x:v>
      </x:c>
      <x:c r="C16" s="24" t="str">
        <x:v>Blank / not yet collected</x:v>
      </x:c>
      <x:c r="D16" s="24" t="str">
        <x:v>Teacher observation</x:v>
      </x:c>
      <x:c r="E16" s="24" t="str">
        <x:v>Text</x:v>
      </x:c>
      <x:c r="F16" s="24" t="str">
        <x:v>Context / validation</x:v>
      </x:c>
      <x:c r="G16" s="24" t="str">
        <x:v>Should be collected consistently with a standard form.</x:v>
      </x:c>
    </x:row>
    <x:row r="17">
      <x:c r="A17" s="51" t="str">
        <x:v>human_*_1to5</x:v>
      </x:c>
      <x:c r="B17" s="24" t="str">
        <x:v>Final human rating fields for the four target constructs.</x:v>
      </x:c>
      <x:c r="C17" s="24" t="str">
        <x:v>Blank</x:v>
      </x:c>
      <x:c r="D17" s="24" t="str">
        <x:v>Two or more trained human raters</x:v>
      </x:c>
      <x:c r="E17" s="24" t="str">
        <x:v>1–5</x:v>
      </x:c>
      <x:c r="F17" s="24" t="str">
        <x:v>Final ground-truth labels</x:v>
      </x:c>
      <x:c r="G17" s="24" t="str">
        <x:v>Assess inter-rater reliability before model training.</x:v>
      </x:c>
    </x:row>
  </x:sheetData>
  <x:mergeCells>
    <x:mergeCell ref="A1:G2"/>
  </x:mergeCells>
  <x:pageMargins left="0.7" right="0.7" top="0.75" bottom="0.75" header="0.3" footer="0.3"/>
</x:worksheet>
</file>