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5af3167a4b44ec" /></Relationships>
</file>

<file path=xl/workbook.xml><?xml version="1.0" encoding="utf-8"?>
<x:workbook xmlns:x="http://schemas.openxmlformats.org/spreadsheetml/2006/main">
  <x:sheets>
    <x:sheet xmlns:r="http://schemas.openxmlformats.org/officeDocument/2006/relationships" name="Sheet1" sheetId="1" r:id="R15507bab1ec04b10"/>
  </x:sheets>
</x:workbook>
</file>

<file path=xl/sharedStrings.xml><?xml version="1.0" encoding="utf-8"?>
<x:sst xmlns:x="http://schemas.openxmlformats.org/spreadsheetml/2006/main">
  <x:si>
    <x:t xml:space="preserve">S001</x:t>
  </x:si>
  <x:si>
    <x:t xml:space="preserve">Uses a clear and balanced color scheme with careful coloring of the house, tree, flowers, fence, sun and path. Good attention to small details and overall organization. Some color variation is present, but there are limited obvious additions or transformations beyond the provided template</x:t>
  </x:si>
  <x:si>
    <x:t xml:space="preserve">S002</x:t>
  </x:si>
  <x:si>
    <x:t xml:space="preserve">Shows strong color exploration with unconventional choices such as a red sun, blue clouds, a green house, and a fully colored background. The child uses several contrasting colors and fills most major areas of the scene. The overall composition remains clear and organized, with good attention to the house, path, tree, fence, flowers, and background.</x:t>
  </x:si>
  <x:si>
    <x:t xml:space="preserve">S003</x:t>
  </x:si>
  <x:si>
    <x:t xml:space="preserve">Uses strong full-scene coloring with a dark house, blue background, green vegetation, brown ground and contrasting orange details. The extensive background coloring and unconventional dark house make the response visually distinctive</x:t>
  </x:si>
  <x:si>
    <x:t xml:space="preserve">S004</x:t>
  </x:si>
  <x:si>
    <x:t xml:space="preserve">Uses a clear purple, red, orange, green and yellow color scheme. The coloring is organized and detailed, with good coverage of the main elements, although the response mainly follows the provided scene without major new additions.</x:t>
  </x:si>
  <x:si>
    <x:t xml:space="preserve">S005</x:t>
  </x:si>
  <x:si>
    <x:t xml:space="preserve">Shows consistent and organized use of purple, red, orange, green, blue and yellow. The house, flowers, tree, fence and path are carefully differentiated, but there are limited major transformations beyond the original template.</x:t>
  </x:si>
  <x:si>
    <x:t xml:space="preserve">S006</x:t>
  </x:si>
  <x:si>
    <x:t xml:space="preserve">Shows strong creative extension by adding an airplane to the scene. The child uses a wide range of colors and develops the original picture beyond simple coloring, demonstrating strong originality and elaboration.</x:t>
  </x:si>
  <x:si>
    <x:t xml:space="preserve">S007</x:t>
  </x:si>
  <x:si>
    <x:t xml:space="preserve">Uses an unusual dark house with contrasting purple, orange, green and blue elements. Additional marks or objects in the sky increase the individuality of the response, while the scene remains clearly organized.</x:t>
  </x:si>
  <x:si>
    <x:t xml:space="preserve">S008</x:t>
  </x:si>
  <x:si>
    <x:t xml:space="preserve">Shows very strong color exploration through the bright yellow background, blue house, red roof, purple door, pink flowers and contrasting dark path. Most of the page is intentionally colored, creating a visually distinctive result.</x:t>
  </x:si>
  <x:si>
    <x:t xml:space="preserve">S009</x:t>
  </x:si>
  <x:si>
    <x:t xml:space="preserve">Shows strong creative extension by adding an airplane or flying object above the house. The scene uses varied colors with good organization and includes an original addition beyond the provided coloring template.</x:t>
  </x:si>
  <x:si>
    <x:t xml:space="preserve">S010</x:t>
  </x:si>
  <x:si>
    <x:t xml:space="preserve">S011</x:t>
  </x:si>
  <x:si>
    <x:t xml:space="preserve">S012</x:t>
  </x:si>
  <x:si>
    <x:t xml:space="preserve">S013</x:t>
  </x:si>
  <x:si>
    <x:t xml:space="preserve">S014</x:t>
  </x:si>
  <x:si>
    <x:t xml:space="preserve">S015</x:t>
  </x:si>
  <x:si>
    <x:t xml:space="preserve">S016</x:t>
  </x:si>
  <x:si>
    <x:t xml:space="preserve">S017</x:t>
  </x:si>
  <x:si>
    <x:t xml:space="preserve">S018</x:t>
  </x:si>
  <x:si>
    <x:t xml:space="preserve">S019</x:t>
  </x:si>
  <x:si>
    <x:t xml:space="preserve">S020</x:t>
  </x:si>
  <x:si>
    <x:t xml:space="preserve">S021</x:t>
  </x:si>
  <x:si>
    <x:t xml:space="preserve">S022</x:t>
  </x:si>
  <x:si>
    <x:t xml:space="preserve">S023</x:t>
  </x:si>
  <x:si>
    <x:t xml:space="preserve">S024</x:t>
  </x:si>
  <x:si>
    <x:t xml:space="preserve">S025</x:t>
  </x:si>
  <x:si>
    <x:t xml:space="preserve">S026</x:t>
  </x:si>
  <x:si>
    <x:t xml:space="preserve">S027</x:t>
  </x:si>
  <x:si>
    <x:t xml:space="preserve">S028</x:t>
  </x:si>
  <x:si>
    <x:t xml:space="preserve">S029</x:t>
  </x:si>
  <x:si>
    <x:t xml:space="preserve">S030</x:t>
  </x:si>
  <x:si>
    <x:t xml:space="preserve">S031</x:t>
  </x:si>
  <x:si>
    <x:t xml:space="preserve">S032</x:t>
  </x:si>
  <x:si>
    <x:t xml:space="preserve">S033</x:t>
  </x:si>
  <x:si>
    <x:t xml:space="preserve">S034</x:t>
  </x:si>
  <x:si>
    <x:t xml:space="preserve">S035</x:t>
  </x:si>
  <x:si>
    <x:t xml:space="preserve">S036</x:t>
  </x:si>
  <x:si>
    <x:t xml:space="preserve">S037</x:t>
  </x:si>
  <x:si>
    <x:t xml:space="preserve">S038</x:t>
  </x:si>
  <x:si>
    <x:t xml:space="preserve">S039</x:t>
  </x:si>
  <x:si>
    <x:t xml:space="preserve">S040</x:t>
  </x:si>
  <x:si>
    <x:t xml:space="preserve">S041</x:t>
  </x:si>
  <x:si>
    <x:t xml:space="preserve">S042</x:t>
  </x:si>
  <x:si>
    <x:t xml:space="preserve">S043</x:t>
  </x:si>
  <x:si>
    <x:t xml:space="preserve">S044</x:t>
  </x:si>
  <x:si>
    <x:t xml:space="preserve">S045</x:t>
  </x:si>
  <x:si>
    <x:t xml:space="preserve">S046</x:t>
  </x:si>
  <x:si>
    <x:t xml:space="preserve">S047</x:t>
  </x:si>
  <x:si>
    <x:t xml:space="preserve">S048</x:t>
  </x:si>
  <x:si>
    <x:t xml:space="preserve">S049</x:t>
  </x:si>
  <x:si>
    <x:t xml:space="preserve">S050</x:t>
  </x:si>
  <x:si>
    <x:t xml:space="preserve">S051</x:t>
  </x:si>
  <x:si>
    <x:t xml:space="preserve">S052</x:t>
  </x:si>
  <x:si>
    <x:t xml:space="preserve">S053</x:t>
  </x:si>
  <x:si>
    <x:t xml:space="preserve">S054</x:t>
  </x:si>
  <x:si>
    <x:t xml:space="preserve">S055</x:t>
  </x:si>
  <x:si>
    <x:t xml:space="preserve">S056</x:t>
  </x:si>
  <x:si>
    <x:t xml:space="preserve">S057</x:t>
  </x:si>
  <x:si>
    <x:t xml:space="preserve">S058</x:t>
  </x:si>
  <x:si>
    <x:t xml:space="preserve">S059</x:t>
  </x:si>
  <x:si>
    <x:t xml:space="preserve">S060</x:t>
  </x:si>
  <x:si>
    <x:t xml:space="preserve">S061</x:t>
  </x:si>
  <x:si>
    <x:t xml:space="preserve">S062</x:t>
  </x:si>
  <x:si>
    <x:t xml:space="preserve">S063</x:t>
  </x:si>
  <x:si>
    <x:t xml:space="preserve">S064</x:t>
  </x:si>
  <x:si>
    <x:t xml:space="preserve">S065</x:t>
  </x:si>
  <x:si>
    <x:t xml:space="preserve">S066</x:t>
  </x:si>
  <x:si>
    <x:t xml:space="preserve">S067</x:t>
  </x:si>
  <x:si>
    <x:t xml:space="preserve">S068</x:t>
  </x:si>
  <x:si>
    <x:t xml:space="preserve">S069</x:t>
  </x:si>
</x:sst>
</file>

<file path=xl/styles.xml><?xml version="1.0" encoding="utf-8"?>
<x:styleSheet xmlns:x="http://schemas.openxmlformats.org/spreadsheetml/2006/main">
  <x:numFmts count="2">
    <x:numFmt numFmtId="200" formatCode="0"/>
    <x:numFmt numFmtId="201" formatCode="0.00"/>
  </x:numFmts>
  <x:fonts count="3">
    <x:font>
      <x:sz val="11"/>
      <x:color theme="1"/>
      <x:name val="Aptos Narrow"/>
    </x:font>
    <x:font>
      <x:sz val="10"/>
      <x:color theme="1"/>
      <x:name val="Arial Unicode MS"/>
    </x:font>
    <x:font>
      <x:sz val="8"/>
      <x:name val="Aptos Narrow"/>
    </x:font>
  </x:fonts>
  <x:fills count="2">
    <x:fill>
      <x:patternFill patternType="none"/>
    </x:fill>
    <x:fill>
      <x:patternFill patternType="gray125"/>
    </x:fill>
  </x:fills>
  <x:borders count="2">
    <x:border/>
    <x:border/>
  </x:borders>
  <x:cellStyleXfs count="1">
    <x:xf numFmtId="0" fontId="0" fillId="0" borderId="0"/>
  </x:cellStyleXfs>
  <x:cellXfs count="14">
    <x:xf numFmtId="0" fontId="0" fillId="0" borderId="0" xfId="0"/>
    <x:xf numFmtId="0" fontId="1" fillId="0" borderId="0" xfId="0" applyFont="1" applyAlignment="1">
      <x:alignment vertical="center"/>
    </x:xf>
    <x:xf numFmtId="0" fontId="0" fillId="0" borderId="0" xfId="0" applyAlignment="1">
      <x:alignment wrapText="1"/>
    </x:xf>
    <x:xf numFmtId="0" fontId="0" fillId="0" borderId="1" xfId="0" applyNumberFormat="1" applyFont="1" applyFill="1" applyBorder="1"/>
    <x:xf numFmtId="0" fontId="1" fillId="0" borderId="1" xfId="0" applyNumberFormat="1" applyFont="1" applyFill="1" applyBorder="1" applyAlignment="1">
      <x:alignment vertical="center"/>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dxfs count="3">
    <x:dxf>
      <x:fill>
        <x:patternFill>
          <x:bgColor rgb="FFFCE8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b82676591e4b62" /><Relationship Type="http://schemas.openxmlformats.org/officeDocument/2006/relationships/theme" Target="/xl/theme/theme1.xml" Id="R6764178d3fae44a7" /><Relationship Type="http://schemas.openxmlformats.org/officeDocument/2006/relationships/sharedStrings" Target="/xl/sharedStrings.xml" Id="Rfef1e2954bba4931" /><Relationship Type="http://schemas.openxmlformats.org/officeDocument/2006/relationships/worksheet" Target="/xl/worksheets/sheet1.xml" Id="R15507bab1ec04b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25"/>
  <x:cols>
    <x:col min="1" max="1" width="14" hidden="0" customWidth="1"/>
    <x:col min="2" max="2" width="14" hidden="0" customWidth="1"/>
    <x:col min="3" max="3" width="14" hidden="0" customWidth="1"/>
    <x:col min="6" max="6" width="16" hidden="0" customWidth="1"/>
    <x:col min="8" max="8" width="16" hidden="0" customWidth="1"/>
    <x:col min="9" max="10" width="16.46484375" customWidth="1"/>
    <x:col min="11" max="11" width="16" hidden="0" customWidth="1"/>
    <x:col min="12" max="12" width="55" hidden="0" customWidth="1"/>
    <x:col min="13" max="13" width="16" hidden="0" customWidth="1"/>
    <x:col min="4" max="4" width="16" hidden="0" customWidth="1"/>
    <x:col min="5" max="5" width="16" hidden="0" customWidth="1"/>
    <x:col min="7" max="7" width="16" hidden="0" customWidth="1"/>
    <x:col min="9" max="9" width="16" hidden="0" customWidth="1"/>
    <x:col min="10" max="10" width="16" hidden="0" customWidth="1"/>
  </x:cols>
  <x:sheetData>
    <x:row r="1" ht="28.5">
      <x:c r="A1" s="10" t="str">
        <x:v>student_id</x:v>
      </x:c>
      <x:c r="B1" s="11" t="str">
        <x:v>activity_id</x:v>
      </x:c>
      <x:c r="C1" s="11" t="str">
        <x:v>filename</x:v>
      </x:c>
      <x:c r="D1" s="11" t="str">
        <x:v>originality</x:v>
      </x:c>
      <x:c r="E1" s="11" t="str">
        <x:v>elaboration</x:v>
      </x:c>
      <x:c r="F1" s="11" t="str">
        <x:v>color_exploration</x:v>
      </x:c>
      <x:c r="G1" s="11" t="str">
        <x:v>detail</x:v>
      </x:c>
      <x:c r="H1" s="11" t="str">
        <x:v>visual_organization</x:v>
      </x:c>
      <x:c r="I1" s="10" t="str">
        <x:v>creativity_total</x:v>
      </x:c>
      <x:c r="J1" s="11" t="str">
        <x:v>creativity_mean</x:v>
      </x:c>
      <x:c r="K1" s="11" t="str">
        <x:v>creativity_level_3class</x:v>
      </x:c>
      <x:c r="L1" s="11" t="str">
        <x:v>teacher_comment</x:v>
      </x:c>
      <x:c r="M1" s="11" t="str">
        <x:v>validation_status</x:v>
      </x:c>
    </x:row>
    <x:row r="2" ht="57">
      <x:c r="A2" s="10" t="s">
        <x:v>0</x:v>
      </x:c>
      <x:c r="B2" s="10" t="str">
        <x:v>CC01</x:v>
      </x:c>
      <x:c r="C2" s="10" t="str">
        <x:v>S001_CC01</x:v>
      </x:c>
      <x:c r="D2" s="10">
        <x:v>3</x:v>
      </x:c>
      <x:c r="E2" s="10">
        <x:v>3</x:v>
      </x:c>
      <x:c r="F2" s="10">
        <x:v>3</x:v>
      </x:c>
      <x:c r="G2" s="10">
        <x:v>4</x:v>
      </x:c>
      <x:c r="H2" s="10">
        <x:v>4</x:v>
      </x:c>
      <x:c r="I2" s="12" t="n">
        <x:f>IF(COUNTA(D2:H2)=0,"",SUM(D2:H2))</x:f>
        <x:v>17</x:v>
      </x:c>
      <x:c r="J2" s="13" t="n">
        <x:f>IF(COUNTA(D2:H2)=0,"",AVERAGE(D2:H2))</x:f>
        <x:v>3.4</x:v>
      </x:c>
      <x:c r="K2" s="10" t="str">
        <x:f>IF(J2="","",IF(J2&lt;2.5,"Developing",IF(J2&lt;3.5,"Moderate","High")))</x:f>
        <x:v>Moderate</x:v>
      </x:c>
      <x:c r="L2" s="10" t="s">
        <x:v>1</x:v>
      </x:c>
      <x:c r="M2" s="10" t="str">
        <x:v>Validated</x:v>
      </x:c>
    </x:row>
    <x:row r="3" ht="57">
      <x:c r="A3" s="10" t="s">
        <x:v>2</x:v>
      </x:c>
      <x:c r="B3" s="10" t="str">
        <x:v>CC01</x:v>
      </x:c>
      <x:c r="C3" s="10" t="str">
        <x:v>S002_CC01</x:v>
      </x:c>
      <x:c r="D3" s="10">
        <x:v>4</x:v>
      </x:c>
      <x:c r="E3" s="10">
        <x:v>4</x:v>
      </x:c>
      <x:c r="F3" s="10">
        <x:v>4</x:v>
      </x:c>
      <x:c r="G3" s="10">
        <x:v>4</x:v>
      </x:c>
      <x:c r="H3" s="10">
        <x:v>4</x:v>
      </x:c>
      <x:c r="I3" s="12" t="n">
        <x:f>IF(COUNTA(D3:H3)=0,"",SUM(D3:H3))</x:f>
        <x:v>20</x:v>
      </x:c>
      <x:c r="J3" s="13" t="n">
        <x:f>IF(COUNTA(D3:H3)=0,"",AVERAGE(D3:H3))</x:f>
        <x:v>4</x:v>
      </x:c>
      <x:c r="K3" s="10" t="str">
        <x:f>IF(J3="","",IF(J3&lt;2.5,"Developing",IF(J3&lt;3.5,"Moderate","High")))</x:f>
        <x:v>High</x:v>
      </x:c>
      <x:c r="L3" s="10" t="s">
        <x:v>3</x:v>
      </x:c>
      <x:c r="M3" s="10" t="str">
        <x:v>Validated</x:v>
      </x:c>
    </x:row>
    <x:row r="4" ht="42.75">
      <x:c r="A4" s="10" t="s">
        <x:v>4</x:v>
      </x:c>
      <x:c r="B4" s="10" t="str">
        <x:v>CC01</x:v>
      </x:c>
      <x:c r="C4" s="10" t="str">
        <x:v>S003_CC01</x:v>
      </x:c>
      <x:c r="D4" s="10">
        <x:v>4</x:v>
      </x:c>
      <x:c r="E4" s="10">
        <x:v>4</x:v>
      </x:c>
      <x:c r="F4" s="10">
        <x:v>4</x:v>
      </x:c>
      <x:c r="G4" s="10">
        <x:v>4</x:v>
      </x:c>
      <x:c r="H4" s="10">
        <x:v>4</x:v>
      </x:c>
      <x:c r="I4" s="12" t="n">
        <x:f>IF(COUNTA(D4:H4)=0,"",SUM(D4:H4))</x:f>
        <x:v>20</x:v>
      </x:c>
      <x:c r="J4" s="13" t="n">
        <x:f>IF(COUNTA(D4:H4)=0,"",AVERAGE(D4:H4))</x:f>
        <x:v>4</x:v>
      </x:c>
      <x:c r="K4" s="10" t="str">
        <x:f>IF(J4="","",IF(J4&lt;2.5,"Developing",IF(J4&lt;3.5,"Moderate","High")))</x:f>
        <x:v>High</x:v>
      </x:c>
      <x:c r="L4" s="10" t="s">
        <x:v>5</x:v>
      </x:c>
      <x:c r="M4" s="10" t="str">
        <x:v>Validated</x:v>
      </x:c>
    </x:row>
    <x:row r="5" ht="42.75">
      <x:c r="A5" s="10" t="s">
        <x:v>6</x:v>
      </x:c>
      <x:c r="B5" s="10" t="str">
        <x:v>CC01</x:v>
      </x:c>
      <x:c r="C5" s="10" t="str">
        <x:v>S004_CC01</x:v>
      </x:c>
      <x:c r="D5" s="10">
        <x:v>3</x:v>
      </x:c>
      <x:c r="E5" s="10">
        <x:v>4</x:v>
      </x:c>
      <x:c r="F5" s="10">
        <x:v>4</x:v>
      </x:c>
      <x:c r="G5" s="10">
        <x:v>4</x:v>
      </x:c>
      <x:c r="H5" s="10">
        <x:v>4</x:v>
      </x:c>
      <x:c r="I5" s="12" t="n">
        <x:f>IF(COUNTA(D5:H5)=0,"",SUM(D5:H5))</x:f>
        <x:v>19</x:v>
      </x:c>
      <x:c r="J5" s="13" t="n">
        <x:f>IF(COUNTA(D5:H5)=0,"",AVERAGE(D5:H5))</x:f>
        <x:v>3.8</x:v>
      </x:c>
      <x:c r="K5" s="10" t="str">
        <x:f>IF(J5="","",IF(J5&lt;2.5,"Developing",IF(J5&lt;3.5,"Moderate","High")))</x:f>
        <x:v>High</x:v>
      </x:c>
      <x:c r="L5" s="10" t="s">
        <x:v>7</x:v>
      </x:c>
      <x:c r="M5" s="10" t="str">
        <x:v>Validated</x:v>
      </x:c>
    </x:row>
    <x:row r="6" ht="42.75">
      <x:c r="A6" s="10" t="s">
        <x:v>8</x:v>
      </x:c>
      <x:c r="B6" s="10" t="str">
        <x:v>CC01</x:v>
      </x:c>
      <x:c r="C6" s="10" t="str">
        <x:v>S005_CC01</x:v>
      </x:c>
      <x:c r="D6" s="10">
        <x:v>3</x:v>
      </x:c>
      <x:c r="E6" s="10">
        <x:v>4</x:v>
      </x:c>
      <x:c r="F6" s="10">
        <x:v>4</x:v>
      </x:c>
      <x:c r="G6" s="10">
        <x:v>4</x:v>
      </x:c>
      <x:c r="H6" s="10">
        <x:v>4</x:v>
      </x:c>
      <x:c r="I6" s="12" t="n">
        <x:f>IF(COUNTA(D6:H6)=0,"",SUM(D6:H6))</x:f>
        <x:v>19</x:v>
      </x:c>
      <x:c r="J6" s="13" t="n">
        <x:f>IF(COUNTA(D6:H6)=0,"",AVERAGE(D6:H6))</x:f>
        <x:v>3.8</x:v>
      </x:c>
      <x:c r="K6" s="10" t="str">
        <x:f>IF(J6="","",IF(J6&lt;2.5,"Developing",IF(J6&lt;3.5,"Moderate","High")))</x:f>
        <x:v>High</x:v>
      </x:c>
      <x:c r="L6" s="10" t="s">
        <x:v>9</x:v>
      </x:c>
      <x:c r="M6" s="10" t="str">
        <x:v>Validated</x:v>
      </x:c>
    </x:row>
    <x:row r="7" ht="42.75">
      <x:c r="A7" s="10" t="s">
        <x:v>10</x:v>
      </x:c>
      <x:c r="B7" s="10" t="str">
        <x:v>CC01</x:v>
      </x:c>
      <x:c r="C7" s="10" t="str">
        <x:v>S006_CC01</x:v>
      </x:c>
      <x:c r="D7" s="10">
        <x:v>5</x:v>
      </x:c>
      <x:c r="E7" s="10">
        <x:v>5</x:v>
      </x:c>
      <x:c r="F7" s="10">
        <x:v>4</x:v>
      </x:c>
      <x:c r="G7" s="10">
        <x:v>4</x:v>
      </x:c>
      <x:c r="H7" s="10">
        <x:v>4</x:v>
      </x:c>
      <x:c r="I7" s="12" t="n">
        <x:f>IF(COUNTA(D7:H7)=0,"",SUM(D7:H7))</x:f>
        <x:v>22</x:v>
      </x:c>
      <x:c r="J7" s="13" t="n">
        <x:f>IF(COUNTA(D7:H7)=0,"",AVERAGE(D7:H7))</x:f>
        <x:v>4.4</x:v>
      </x:c>
      <x:c r="K7" s="10" t="str">
        <x:f>IF(J7="","",IF(J7&lt;2.5,"Developing",IF(J7&lt;3.5,"Moderate","High")))</x:f>
        <x:v>High</x:v>
      </x:c>
      <x:c r="L7" s="10" t="s">
        <x:v>11</x:v>
      </x:c>
      <x:c r="M7" s="10" t="str">
        <x:v>Validated</x:v>
      </x:c>
    </x:row>
    <x:row r="8" ht="42.75">
      <x:c r="A8" s="10" t="s">
        <x:v>12</x:v>
      </x:c>
      <x:c r="B8" s="10" t="str">
        <x:v>CC01</x:v>
      </x:c>
      <x:c r="C8" s="10" t="str">
        <x:v>S007_CC01</x:v>
      </x:c>
      <x:c r="D8" s="10">
        <x:v>4</x:v>
      </x:c>
      <x:c r="E8" s="10">
        <x:v>4</x:v>
      </x:c>
      <x:c r="F8" s="10">
        <x:v>4</x:v>
      </x:c>
      <x:c r="G8" s="10">
        <x:v>4</x:v>
      </x:c>
      <x:c r="H8" s="10">
        <x:v>4</x:v>
      </x:c>
      <x:c r="I8" s="12" t="n">
        <x:f>IF(COUNTA(D8:H8)=0,"",SUM(D8:H8))</x:f>
        <x:v>20</x:v>
      </x:c>
      <x:c r="J8" s="13" t="n">
        <x:f>IF(COUNTA(D8:H8)=0,"",AVERAGE(D8:H8))</x:f>
        <x:v>4</x:v>
      </x:c>
      <x:c r="K8" s="10" t="str">
        <x:f>IF(J8="","",IF(J8&lt;2.5,"Developing",IF(J8&lt;3.5,"Moderate","High")))</x:f>
        <x:v>High</x:v>
      </x:c>
      <x:c r="L8" s="10" t="s">
        <x:v>13</x:v>
      </x:c>
      <x:c r="M8" s="10" t="str">
        <x:v>Validated</x:v>
      </x:c>
    </x:row>
    <x:row r="9" ht="42.75">
      <x:c r="A9" s="10" t="s">
        <x:v>14</x:v>
      </x:c>
      <x:c r="B9" s="10" t="str">
        <x:v>CC01</x:v>
      </x:c>
      <x:c r="C9" s="10" t="str">
        <x:v>S008_CC01</x:v>
      </x:c>
      <x:c r="D9" s="10">
        <x:v>4</x:v>
      </x:c>
      <x:c r="E9" s="10">
        <x:v>4</x:v>
      </x:c>
      <x:c r="F9" s="10">
        <x:v>5</x:v>
      </x:c>
      <x:c r="G9" s="10">
        <x:v>4</x:v>
      </x:c>
      <x:c r="H9" s="10">
        <x:v>4</x:v>
      </x:c>
      <x:c r="I9" s="12" t="n">
        <x:f>IF(COUNTA(D9:H9)=0,"",SUM(D9:H9))</x:f>
        <x:v>21</x:v>
      </x:c>
      <x:c r="J9" s="13" t="n">
        <x:f>IF(COUNTA(D9:H9)=0,"",AVERAGE(D9:H9))</x:f>
        <x:v>4.2</x:v>
      </x:c>
      <x:c r="K9" s="10" t="str">
        <x:f>IF(J9="","",IF(J9&lt;2.5,"Developing",IF(J9&lt;3.5,"Moderate","High")))</x:f>
        <x:v>High</x:v>
      </x:c>
      <x:c r="L9" s="10" t="s">
        <x:v>15</x:v>
      </x:c>
      <x:c r="M9" s="10" t="str">
        <x:v>Validated</x:v>
      </x:c>
    </x:row>
    <x:row r="10" ht="42.75">
      <x:c r="A10" s="10" t="s">
        <x:v>16</x:v>
      </x:c>
      <x:c r="B10" s="10" t="str">
        <x:v>CC01</x:v>
      </x:c>
      <x:c r="C10" s="10" t="str">
        <x:v>S009_CC01</x:v>
      </x:c>
      <x:c r="D10" s="10">
        <x:v>5</x:v>
      </x:c>
      <x:c r="E10" s="10">
        <x:v>5</x:v>
      </x:c>
      <x:c r="F10" s="10">
        <x:v>4</x:v>
      </x:c>
      <x:c r="G10" s="10">
        <x:v>4</x:v>
      </x:c>
      <x:c r="H10" s="10">
        <x:v>4</x:v>
      </x:c>
      <x:c r="I10" s="12" t="n">
        <x:f>IF(COUNTA(D10:H10)=0,"",SUM(D10:H10))</x:f>
        <x:v>22</x:v>
      </x:c>
      <x:c r="J10" s="13" t="n">
        <x:f>IF(COUNTA(D10:H10)=0,"",AVERAGE(D10:H10))</x:f>
        <x:v>4.4</x:v>
      </x:c>
      <x:c r="K10" s="10" t="str">
        <x:f>IF(J10="","",IF(J10&lt;2.5,"Developing",IF(J10&lt;3.5,"Moderate","High")))</x:f>
        <x:v>High</x:v>
      </x:c>
      <x:c r="L10" s="10" t="s">
        <x:v>17</x:v>
      </x:c>
      <x:c r="M10" s="10" t="str">
        <x:v>Validated</x:v>
      </x:c>
    </x:row>
    <x:row r="11">
      <x:c r="A11" s="10" t="s">
        <x:v>18</x:v>
      </x:c>
      <x:c r="B11" s="10" t="str">
        <x:v>CC01</x:v>
      </x:c>
      <x:c r="C11" s="10" t="str">
        <x:v>S010_CC01</x:v>
      </x:c>
      <x:c r="D11" s="10" t="n">
        <x:v>3</x:v>
      </x:c>
      <x:c r="E11" s="10" t="n">
        <x:v>4</x:v>
      </x:c>
      <x:c r="F11" s="10" t="n">
        <x:v>4</x:v>
      </x:c>
      <x:c r="G11" s="10" t="n">
        <x:v>4</x:v>
      </x:c>
      <x:c r="H11" s="10" t="n">
        <x:v>4</x:v>
      </x:c>
      <x:c r="I11" s="12" t="n">
        <x:f>IF(COUNTA(D11:H11)=0,"",SUM(D11:H11))</x:f>
        <x:v>19</x:v>
      </x:c>
      <x:c r="J11" s="13" t="n">
        <x:f>IF(COUNTA(D11:H11)=0,"",AVERAGE(D11:H11))</x:f>
        <x:v>3.8</x:v>
      </x:c>
      <x:c r="K11" s="10" t="str">
        <x:f>IF(J11="","",IF(J11&lt;2.5,"Developing",IF(J11&lt;3.5,"Moderate","High")))</x:f>
        <x:v>High</x:v>
      </x:c>
      <x:c r="L11" s="10" t="str">
        <x:v>Uses a balanced range of colors with clear separation of the house, tree, flowers, fence, clouds, sun and path. The work is neat and visually organized, but mainly follows the provided template with limited new additions.</x:v>
      </x:c>
      <x:c r="M11" s="10" t="str">
        <x:v>Pending</x:v>
      </x:c>
    </x:row>
    <x:row r="12">
      <x:c r="A12" s="10" t="s">
        <x:v>19</x:v>
      </x:c>
      <x:c r="B12" s="10" t="str">
        <x:v>CC01</x:v>
      </x:c>
      <x:c r="C12" s="10" t="str">
        <x:v>S011_CC01</x:v>
      </x:c>
      <x:c r="D12" s="10" t="n">
        <x:v>5</x:v>
      </x:c>
      <x:c r="E12" s="10" t="n">
        <x:v>5</x:v>
      </x:c>
      <x:c r="F12" s="10" t="n">
        <x:v>4</x:v>
      </x:c>
      <x:c r="G12" s="10" t="n">
        <x:v>4</x:v>
      </x:c>
      <x:c r="H12" s="10" t="n">
        <x:v>4</x:v>
      </x:c>
      <x:c r="I12" s="12" t="n">
        <x:f>IF(COUNTA(D12:H12)=0,"",SUM(D12:H12))</x:f>
        <x:v>22</x:v>
      </x:c>
      <x:c r="J12" s="13" t="n">
        <x:f>IF(COUNTA(D12:H12)=0,"",AVERAGE(D12:H12))</x:f>
        <x:v>4.4</x:v>
      </x:c>
      <x:c r="K12" s="10" t="str">
        <x:f>IF(J12="","",IF(J12&lt;2.5,"Developing",IF(J12&lt;3.5,"Moderate","High")))</x:f>
        <x:v>High</x:v>
      </x:c>
      <x:c r="L12" s="10" t="str">
        <x:v>Adds a new bird-like figure in the sky, extending the original scene beyond simple coloring. The response uses several contrasting colors and shows strong originality, elaboration and overall organization.</x:v>
      </x:c>
      <x:c r="M12" s="10" t="str">
        <x:v>Pending</x:v>
      </x:c>
    </x:row>
    <x:row r="13">
      <x:c r="A13" s="10" t="s">
        <x:v>20</x:v>
      </x:c>
      <x:c r="B13" s="10" t="str">
        <x:v>CC01</x:v>
      </x:c>
      <x:c r="C13" s="10" t="str">
        <x:v>S012_CC01</x:v>
      </x:c>
      <x:c r="D13" s="10" t="n">
        <x:v>3</x:v>
      </x:c>
      <x:c r="E13" s="10" t="n">
        <x:v>4</x:v>
      </x:c>
      <x:c r="F13" s="10" t="n">
        <x:v>4</x:v>
      </x:c>
      <x:c r="G13" s="10" t="n">
        <x:v>4</x:v>
      </x:c>
      <x:c r="H13" s="10" t="n">
        <x:v>4</x:v>
      </x:c>
      <x:c r="I13" s="12" t="n">
        <x:f>IF(COUNTA(D13:H13)=0,"",SUM(D13:H13))</x:f>
        <x:v>19</x:v>
      </x:c>
      <x:c r="J13" s="13" t="n">
        <x:f>IF(COUNTA(D13:H13)=0,"",AVERAGE(D13:H13))</x:f>
        <x:v>3.8</x:v>
      </x:c>
      <x:c r="K13" s="10" t="str">
        <x:f>IF(J13="","",IF(J13&lt;2.5,"Developing",IF(J13&lt;3.5,"Moderate","High")))</x:f>
        <x:v>High</x:v>
      </x:c>
      <x:c r="L13" s="10" t="str">
        <x:v>Uses strong contrasting colors across the house, roof, door, windows, flowers, fence and vegetation. The picture is carefully completed and organized, although there are few major additions beyond the original template.</x:v>
      </x:c>
      <x:c r="M13" s="10" t="str">
        <x:v>Pending</x:v>
      </x:c>
    </x:row>
    <x:row r="14">
      <x:c r="A14" s="10" t="s">
        <x:v>21</x:v>
      </x:c>
      <x:c r="B14" s="10" t="str">
        <x:v>CC01</x:v>
      </x:c>
      <x:c r="C14" s="10" t="str">
        <x:v>S013_CC01</x:v>
      </x:c>
      <x:c r="D14" s="10" t="n">
        <x:v>2</x:v>
      </x:c>
      <x:c r="E14" s="10" t="n">
        <x:v>3</x:v>
      </x:c>
      <x:c r="F14" s="10" t="n">
        <x:v>3</x:v>
      </x:c>
      <x:c r="G14" s="10" t="n">
        <x:v>3</x:v>
      </x:c>
      <x:c r="H14" s="10" t="n">
        <x:v>4</x:v>
      </x:c>
      <x:c r="I14" s="12" t="n">
        <x:f>IF(COUNTA(D14:H14)=0,"",SUM(D14:H14))</x:f>
        <x:v>15</x:v>
      </x:c>
      <x:c r="J14" s="13" t="n">
        <x:f>IF(COUNTA(D14:H14)=0,"",AVERAGE(D14:H14))</x:f>
        <x:v>3</x:v>
      </x:c>
      <x:c r="K14" s="10" t="str">
        <x:f>IF(J14="","",IF(J14&lt;2.5,"Developing",IF(J14&lt;3.5,"Moderate","High")))</x:f>
        <x:v>Moderate</x:v>
      </x:c>
      <x:c r="L14" s="10" t="str">
        <x:v>Uses a simple and consistent color scheme with clear coloring of the main objects. The scene remains organized, but shows limited color experimentation and few additions or transformations beyond the template.</x:v>
      </x:c>
      <x:c r="M14" s="10" t="str">
        <x:v>Pending</x:v>
      </x:c>
    </x:row>
    <x:row r="15">
      <x:c r="A15" s="10" t="s">
        <x:v>22</x:v>
      </x:c>
      <x:c r="B15" s="10" t="str">
        <x:v>CC01</x:v>
      </x:c>
      <x:c r="C15" s="10" t="str">
        <x:v>S014_CC01</x:v>
      </x:c>
      <x:c r="D15" s="10" t="n">
        <x:v>3</x:v>
      </x:c>
      <x:c r="E15" s="10" t="n">
        <x:v>3</x:v>
      </x:c>
      <x:c r="F15" s="10" t="n">
        <x:v>3</x:v>
      </x:c>
      <x:c r="G15" s="10" t="n">
        <x:v>3</x:v>
      </x:c>
      <x:c r="H15" s="10" t="n">
        <x:v>4</x:v>
      </x:c>
      <x:c r="I15" s="12" t="n">
        <x:f>IF(COUNTA(D15:H15)=0,"",SUM(D15:H15))</x:f>
        <x:v>16</x:v>
      </x:c>
      <x:c r="J15" s="13" t="n">
        <x:f>IF(COUNTA(D15:H15)=0,"",AVERAGE(D15:H15))</x:f>
        <x:v>3.2</x:v>
      </x:c>
      <x:c r="K15" s="10" t="str">
        <x:f>IF(J15="","",IF(J15&lt;2.5,"Developing",IF(J15&lt;3.5,"Moderate","High")))</x:f>
        <x:v>Moderate</x:v>
      </x:c>
      <x:c r="L15" s="10" t="str">
        <x:v>Uses a bright yellow house with a purple roof, green door, blue clouds and soft green vegetation. The response is clear and organized, but has moderate detail and limited extension beyond the provided picture.</x:v>
      </x:c>
      <x:c r="M15" s="10" t="str">
        <x:v>Pending</x:v>
      </x:c>
    </x:row>
    <x:row r="16">
      <x:c r="A16" s="10" t="s">
        <x:v>23</x:v>
      </x:c>
      <x:c r="B16" s="10" t="str">
        <x:v>CC01</x:v>
      </x:c>
      <x:c r="C16" s="10" t="str">
        <x:v>S015_CC01</x:v>
      </x:c>
      <x:c r="D16" s="10" t="n">
        <x:v>4</x:v>
      </x:c>
      <x:c r="E16" s="10" t="n">
        <x:v>4</x:v>
      </x:c>
      <x:c r="F16" s="10" t="n">
        <x:v>5</x:v>
      </x:c>
      <x:c r="G16" s="10" t="n">
        <x:v>4</x:v>
      </x:c>
      <x:c r="H16" s="10" t="n">
        <x:v>4</x:v>
      </x:c>
      <x:c r="I16" s="12" t="n">
        <x:f>IF(COUNTA(D16:H16)=0,"",SUM(D16:H16))</x:f>
        <x:v>21</x:v>
      </x:c>
      <x:c r="J16" s="13" t="n">
        <x:f>IF(COUNTA(D16:H16)=0,"",AVERAGE(D16:H16))</x:f>
        <x:v>4.2</x:v>
      </x:c>
      <x:c r="K16" s="10" t="str">
        <x:f>IF(J16="","",IF(J16&lt;2.5,"Developing",IF(J16&lt;3.5,"Moderate","High")))</x:f>
        <x:v>High</x:v>
      </x:c>
      <x:c r="L16" s="10" t="str">
        <x:v>Shows strong color exploration through the pink house, orange roof and windows, purple door, pink fence, green vegetation and broad yellow background. The extensive page coverage creates a distinctive and well-organized result.</x:v>
      </x:c>
      <x:c r="M16" s="10" t="str">
        <x:v>Pending</x:v>
      </x:c>
    </x:row>
    <x:row r="17">
      <x:c r="A17" s="10" t="s">
        <x:v>24</x:v>
      </x:c>
      <x:c r="B17" s="10" t="str">
        <x:v>CC01</x:v>
      </x:c>
      <x:c r="C17" s="10" t="str">
        <x:v>S016_CC01</x:v>
      </x:c>
      <x:c r="D17" s="10" t="n">
        <x:v>4</x:v>
      </x:c>
      <x:c r="E17" s="10" t="n">
        <x:v>4</x:v>
      </x:c>
      <x:c r="F17" s="10" t="n">
        <x:v>4</x:v>
      </x:c>
      <x:c r="G17" s="10" t="n">
        <x:v>4</x:v>
      </x:c>
      <x:c r="H17" s="10" t="n">
        <x:v>4</x:v>
      </x:c>
      <x:c r="I17" s="12" t="n">
        <x:f>IF(COUNTA(D17:H17)=0,"",SUM(D17:H17))</x:f>
        <x:v>20</x:v>
      </x:c>
      <x:c r="J17" s="13" t="n">
        <x:f>IF(COUNTA(D17:H17)=0,"",AVERAGE(D17:H17))</x:f>
        <x:v>4</x:v>
      </x:c>
      <x:c r="K17" s="10" t="str">
        <x:f>IF(J17="","",IF(J17&lt;2.5,"Developing",IF(J17&lt;3.5,"Moderate","High")))</x:f>
        <x:v>High</x:v>
      </x:c>
      <x:c r="L17" s="10" t="str">
        <x:v>Uses a distinctive purple house with brown roof, door, path and fence, bright pink window areas and shrubs, blue clouds and an orange sun. The response shows strong color contrast and clear organization, with a faint additional flower-like sketch in the sky.</x:v>
      </x:c>
      <x:c r="M17" s="10" t="str">
        <x:v>Pending</x:v>
      </x:c>
    </x:row>
    <x:row r="18">
      <x:c r="A18" s="10" t="s">
        <x:v>25</x:v>
      </x:c>
      <x:c r="B18" s="10" t="str">
        <x:v>CC01</x:v>
      </x:c>
      <x:c r="C18" s="10" t="str">
        <x:v>S017_CC01</x:v>
      </x:c>
      <x:c r="D18" s="10" t="n">
        <x:v>2</x:v>
      </x:c>
      <x:c r="E18" s="10" t="n">
        <x:v>3</x:v>
      </x:c>
      <x:c r="F18" s="10" t="n">
        <x:v>3</x:v>
      </x:c>
      <x:c r="G18" s="10" t="n">
        <x:v>3</x:v>
      </x:c>
      <x:c r="H18" s="10" t="n">
        <x:v>4</x:v>
      </x:c>
      <x:c r="I18" s="12" t="n">
        <x:f>IF(COUNTA(D18:H18)=0,"",SUM(D18:H18))</x:f>
        <x:v>15</x:v>
      </x:c>
      <x:c r="J18" s="13" t="n">
        <x:f>IF(COUNTA(D18:H18)=0,"",AVERAGE(D18:H18))</x:f>
        <x:v>3</x:v>
      </x:c>
      <x:c r="K18" s="10" t="str">
        <x:f>IF(J18="","",IF(J18&lt;2.5,"Developing",IF(J18&lt;3.5,"Moderate","High")))</x:f>
        <x:v>Moderate</x:v>
      </x:c>
      <x:c r="L18" s="10" t="str">
        <x:v>Uses a simple and consistent color scheme with a yellow house, brown roof and path, green tree, blue clouds and yellow flowers. The scene is clearly organized but shows limited experimentation or additions beyond the provided template.</x:v>
      </x:c>
      <x:c r="M18" s="10" t="str">
        <x:v>Pending</x:v>
      </x:c>
    </x:row>
    <x:row r="19">
      <x:c r="A19" s="10" t="s">
        <x:v>26</x:v>
      </x:c>
      <x:c r="B19" s="10" t="str">
        <x:v>CC01</x:v>
      </x:c>
      <x:c r="C19" s="10" t="str">
        <x:v>S018_CC01</x:v>
      </x:c>
      <x:c r="D19" s="10" t="n">
        <x:v>3</x:v>
      </x:c>
      <x:c r="E19" s="10" t="n">
        <x:v>4</x:v>
      </x:c>
      <x:c r="F19" s="10" t="n">
        <x:v>4</x:v>
      </x:c>
      <x:c r="G19" s="10" t="n">
        <x:v>4</x:v>
      </x:c>
      <x:c r="H19" s="10" t="n">
        <x:v>4</x:v>
      </x:c>
      <x:c r="I19" s="12" t="n">
        <x:f>IF(COUNTA(D19:H19)=0,"",SUM(D19:H19))</x:f>
        <x:v>19</x:v>
      </x:c>
      <x:c r="J19" s="13" t="n">
        <x:f>IF(COUNTA(D19:H19)=0,"",AVERAGE(D19:H19))</x:f>
        <x:v>3.8</x:v>
      </x:c>
      <x:c r="K19" s="10" t="str">
        <x:f>IF(J19="","",IF(J19&lt;2.5,"Developing",IF(J19&lt;3.5,"Moderate","High")))</x:f>
        <x:v>High</x:v>
      </x:c>
      <x:c r="L19" s="10" t="str">
        <x:v>Uses a strong red house with yellow roof and windows, orange fence, green path, blue clouds and red flowers. The contrasting color choices are clear and well organized, although the response mainly follows the original template.</x:v>
      </x:c>
      <x:c r="M19" s="10" t="str">
        <x:v>Pending</x:v>
      </x:c>
    </x:row>
    <x:row r="20">
      <x:c r="A20" s="10" t="s">
        <x:v>27</x:v>
      </x:c>
      <x:c r="B20" s="10" t="str">
        <x:v>CC01</x:v>
      </x:c>
      <x:c r="C20" s="10" t="str">
        <x:v>S019_CC01</x:v>
      </x:c>
      <x:c r="D20" s="10" t="n">
        <x:v>3</x:v>
      </x:c>
      <x:c r="E20" s="10" t="n">
        <x:v>3</x:v>
      </x:c>
      <x:c r="F20" s="10" t="n">
        <x:v>4</x:v>
      </x:c>
      <x:c r="G20" s="10" t="n">
        <x:v>3</x:v>
      </x:c>
      <x:c r="H20" s="10" t="n">
        <x:v>3</x:v>
      </x:c>
      <x:c r="I20" s="12" t="n">
        <x:f>IF(COUNTA(D20:H20)=0,"",SUM(D20:H20))</x:f>
        <x:v>16</x:v>
      </x:c>
      <x:c r="J20" s="13" t="n">
        <x:f>IF(COUNTA(D20:H20)=0,"",AVERAGE(D20:H20))</x:f>
        <x:v>3.2</x:v>
      </x:c>
      <x:c r="K20" s="10" t="str">
        <x:f>IF(J20="","",IF(J20&lt;2.5,"Developing",IF(J20&lt;3.5,"Moderate","High")))</x:f>
        <x:v>Moderate</x:v>
      </x:c>
      <x:c r="L20" s="10" t="str">
        <x:v>Uses an unusual combination of a yellow house, black door, pink circular window, green fence and blue clouds. The color choices are distinctive, though some areas are less consistently filled and there are limited new additions.</x:v>
      </x:c>
      <x:c r="M20" s="10" t="str">
        <x:v>Pending</x:v>
      </x:c>
    </x:row>
    <x:row r="21">
      <x:c r="A21" s="10" t="s">
        <x:v>28</x:v>
      </x:c>
      <x:c r="B21" s="10" t="str">
        <x:v>CC01</x:v>
      </x:c>
      <x:c r="C21" s="10" t="str">
        <x:v>S020_CC01</x:v>
      </x:c>
      <x:c r="D21" s="10" t="n">
        <x:v>3</x:v>
      </x:c>
      <x:c r="E21" s="10" t="n">
        <x:v>4</x:v>
      </x:c>
      <x:c r="F21" s="10" t="n">
        <x:v>4</x:v>
      </x:c>
      <x:c r="G21" s="10" t="n">
        <x:v>4</x:v>
      </x:c>
      <x:c r="H21" s="10" t="n">
        <x:v>4</x:v>
      </x:c>
      <x:c r="I21" s="12" t="n">
        <x:f>IF(COUNTA(D21:H21)=0,"",SUM(D21:H21))</x:f>
        <x:v>19</x:v>
      </x:c>
      <x:c r="J21" s="13" t="n">
        <x:f>IF(COUNTA(D21:H21)=0,"",AVERAGE(D21:H21))</x:f>
        <x:v>3.8</x:v>
      </x:c>
      <x:c r="K21" s="10" t="str">
        <x:f>IF(J21="","",IF(J21&lt;2.5,"Developing",IF(J21&lt;3.5,"Moderate","High")))</x:f>
        <x:v>High</x:v>
      </x:c>
      <x:c r="L21" s="10" t="str">
        <x:v>Uses a bright yellow house with blue door, red windows, dark blue clouds, green vegetation and a contrasting black path. The scene is carefully completed and visually clear, with strong contrast but few major additions beyond the template.</x:v>
      </x:c>
      <x:c r="M21" s="10" t="str">
        <x:v>Pending</x:v>
      </x:c>
    </x:row>
    <x:row r="22">
      <x:c r="A22" s="10" t="s">
        <x:v>29</x:v>
      </x:c>
      <x:c r="B22" s="10" t="str">
        <x:v>CC01</x:v>
      </x:c>
      <x:c r="C22" s="10" t="str">
        <x:v>S021_CC01</x:v>
      </x:c>
      <x:c r="D22" s="10" t="n">
        <x:v>4</x:v>
      </x:c>
      <x:c r="E22" s="10" t="n">
        <x:v>4</x:v>
      </x:c>
      <x:c r="F22" s="10" t="n">
        <x:v>5</x:v>
      </x:c>
      <x:c r="G22" s="10" t="n">
        <x:v>4</x:v>
      </x:c>
      <x:c r="H22" s="10" t="n">
        <x:v>4</x:v>
      </x:c>
      <x:c r="I22" s="12" t="n">
        <x:f>IF(COUNTA(D22:H22)=0,"",SUM(D22:H22))</x:f>
        <x:v>21</x:v>
      </x:c>
      <x:c r="J22" s="13" t="n">
        <x:f>IF(COUNTA(D22:H22)=0,"",AVERAGE(D22:H22))</x:f>
        <x:v>4.2</x:v>
      </x:c>
      <x:c r="K22" s="10" t="str">
        <x:f>IF(J22="","",IF(J22&lt;2.5,"Developing",IF(J22&lt;3.5,"Moderate","High")))</x:f>
        <x:v>High</x:v>
      </x:c>
      <x:c r="L22" s="10" t="str">
        <x:v>Shows very strong color exploration with a broad yellow background, orange and pink house areas, dark brown foreground, green vegetation and deep blue clouds. The extensive page coverage and bold contrasting colors make the response visually distinctive.</x:v>
      </x:c>
      <x:c r="M22" s="10" t="str">
        <x:v>Pending</x:v>
      </x:c>
    </x:row>
    <x:row r="23">
      <x:c r="A23" s="10" t="s">
        <x:v>30</x:v>
      </x:c>
      <x:c r="B23" s="10" t="str">
        <x:v>CC01</x:v>
      </x:c>
      <x:c r="C23" s="10" t="str">
        <x:v>S022_CC01</x:v>
      </x:c>
      <x:c r="D23" s="10" t="n">
        <x:v>5</x:v>
      </x:c>
      <x:c r="E23" s="10" t="n">
        <x:v>5</x:v>
      </x:c>
      <x:c r="F23" s="10" t="n">
        <x:v>4</x:v>
      </x:c>
      <x:c r="G23" s="10" t="n">
        <x:v>4</x:v>
      </x:c>
      <x:c r="H23" s="10" t="n">
        <x:v>4</x:v>
      </x:c>
      <x:c r="I23" s="12" t="n">
        <x:f>IF(COUNTA(D23:H23)=0,"",SUM(D23:H23))</x:f>
        <x:v>22</x:v>
      </x:c>
      <x:c r="J23" s="13" t="n">
        <x:f>IF(COUNTA(D23:H23)=0,"",AVERAGE(D23:H23))</x:f>
        <x:v>4.4</x:v>
      </x:c>
      <x:c r="K23" s="10" t="str">
        <x:f>IF(J23="","",IF(J23&lt;2.5,"Developing",IF(J23&lt;3.5,"Moderate","High")))</x:f>
        <x:v>High</x:v>
      </x:c>
      <x:c r="L23" s="10" t="str">
        <x:v>Extends the original scene by adding an airplane in the sky. The orange house, black windows and path, pink-purple roof details, blue clouds and green tree create strong contrast. The added object increases originality and elaboration.</x:v>
      </x:c>
      <x:c r="M23" s="10" t="str">
        <x:v>Pending</x:v>
      </x:c>
    </x:row>
    <x:row r="24">
      <x:c r="A24" s="10" t="s">
        <x:v>31</x:v>
      </x:c>
      <x:c r="B24" s="10" t="str">
        <x:v>CC01</x:v>
      </x:c>
      <x:c r="C24" s="10" t="str">
        <x:v>S023_CC01</x:v>
      </x:c>
      <x:c r="D24" s="10" t="n">
        <x:v>4</x:v>
      </x:c>
      <x:c r="E24" s="10" t="n">
        <x:v>4</x:v>
      </x:c>
      <x:c r="F24" s="10" t="n">
        <x:v>5</x:v>
      </x:c>
      <x:c r="G24" s="10" t="n">
        <x:v>4</x:v>
      </x:c>
      <x:c r="H24" s="10" t="n">
        <x:v>4</x:v>
      </x:c>
      <x:c r="I24" s="12" t="n">
        <x:f>IF(COUNTA(D24:H24)=0,"",SUM(D24:H24))</x:f>
        <x:v>21</x:v>
      </x:c>
      <x:c r="J24" s="13" t="n">
        <x:f>IF(COUNTA(D24:H24)=0,"",AVERAGE(D24:H24))</x:f>
        <x:v>4.2</x:v>
      </x:c>
      <x:c r="K24" s="10" t="str">
        <x:f>IF(J24="","",IF(J24&lt;2.5,"Developing",IF(J24&lt;3.5,"Moderate","High")))</x:f>
        <x:v>High</x:v>
      </x:c>
      <x:c r="L24" s="10" t="str">
        <x:v>Uses a wide and contrasting palette across the orange-and-blue house, purple door and roof, orange sun, multicolored fence and vegetation. The response is visually distinctive and well organized, with strong color exploration.</x:v>
      </x:c>
      <x:c r="M24" s="10" t="str">
        <x:v>Pending</x:v>
      </x:c>
    </x:row>
    <x:row r="25">
      <x:c r="A25" s="10" t="s">
        <x:v>32</x:v>
      </x:c>
      <x:c r="B25" s="10" t="str">
        <x:v>CC01</x:v>
      </x:c>
      <x:c r="C25" s="10" t="str">
        <x:v>S024_CC01</x:v>
      </x:c>
      <x:c r="D25" s="10" t="n">
        <x:v>3</x:v>
      </x:c>
      <x:c r="E25" s="10" t="n">
        <x:v>4</x:v>
      </x:c>
      <x:c r="F25" s="10" t="n">
        <x:v>4</x:v>
      </x:c>
      <x:c r="G25" s="10" t="n">
        <x:v>4</x:v>
      </x:c>
      <x:c r="H25" s="10" t="n">
        <x:v>4</x:v>
      </x:c>
      <x:c r="I25" s="12" t="n">
        <x:f>IF(COUNTA(D25:H25)=0,"",SUM(D25:H25))</x:f>
        <x:v>19</x:v>
      </x:c>
      <x:c r="J25" s="13" t="n">
        <x:f>IF(COUNTA(D25:H25)=0,"",AVERAGE(D25:H25))</x:f>
        <x:v>3.8</x:v>
      </x:c>
      <x:c r="K25" s="10" t="str">
        <x:f>IF(J25="","",IF(J25&lt;2.5,"Developing",IF(J25&lt;3.5,"Moderate","High")))</x:f>
        <x:v>High</x:v>
      </x:c>
      <x:c r="L25" s="10" t="str">
        <x:v>Uses a clear blue house with a red roof, orange door, pink flowers, green tree and a dark path. The coloring is detailed and organized, with good contrast, but there are limited additions beyond the provided template.</x:v>
      </x:c>
      <x:c r="M25" s="10" t="str">
        <x:v>Pending</x:v>
      </x:c>
    </x:row>
    <x:row r="26">
      <x:c r="A26" s="10" t="s">
        <x:v>33</x:v>
      </x:c>
      <x:c r="B26" s="10" t="str">
        <x:v>CC01</x:v>
      </x:c>
      <x:c r="C26" s="10" t="str">
        <x:v>S025_CC01</x:v>
      </x:c>
      <x:c r="D26" s="10" t="n">
        <x:v>4</x:v>
      </x:c>
      <x:c r="E26" s="10" t="n">
        <x:v>4</x:v>
      </x:c>
      <x:c r="F26" s="10" t="n">
        <x:v>5</x:v>
      </x:c>
      <x:c r="G26" s="10" t="n">
        <x:v>4</x:v>
      </x:c>
      <x:c r="H26" s="10" t="n">
        <x:v>4</x:v>
      </x:c>
      <x:c r="I26" s="12" t="n">
        <x:f>IF(COUNTA(D26:H26)=0,"",SUM(D26:H26))</x:f>
        <x:v>21</x:v>
      </x:c>
      <x:c r="J26" s="13" t="n">
        <x:f>IF(COUNTA(D26:H26)=0,"",AVERAGE(D26:H26))</x:f>
        <x:v>4.2</x:v>
      </x:c>
      <x:c r="K26" s="10" t="str">
        <x:f>IF(J26="","",IF(J26&lt;2.5,"Developing",IF(J26&lt;3.5,"Moderate","High")))</x:f>
        <x:v>High</x:v>
      </x:c>
      <x:c r="L26" s="10" t="str">
        <x:v>Shows distinctive color exploration through the blue house, brown roof and fence, red door, green windows, purple tree trunk, yellow clouds and pink sun. The unconventional color combinations make the scene visually original while remaining organized.</x:v>
      </x:c>
      <x:c r="M26" s="10" t="str">
        <x:v>Pending</x:v>
      </x:c>
    </x:row>
    <x:row r="27">
      <x:c r="A27" s="10" t="s">
        <x:v>34</x:v>
      </x:c>
      <x:c r="B27" s="10" t="str">
        <x:v>CC01</x:v>
      </x:c>
      <x:c r="C27" s="10" t="str">
        <x:v>S026_CC01</x:v>
      </x:c>
      <x:c r="D27" s="10" t="n">
        <x:v>3</x:v>
      </x:c>
      <x:c r="E27" s="10" t="n">
        <x:v>3</x:v>
      </x:c>
      <x:c r="F27" s="10" t="n">
        <x:v>3</x:v>
      </x:c>
      <x:c r="G27" s="10" t="n">
        <x:v>4</x:v>
      </x:c>
      <x:c r="H27" s="10" t="n">
        <x:v>4</x:v>
      </x:c>
      <x:c r="I27" s="12" t="n">
        <x:f>IF(COUNTA(D27:H27)=0,"",SUM(D27:H27))</x:f>
        <x:v>17</x:v>
      </x:c>
      <x:c r="J27" s="13" t="n">
        <x:f>IF(COUNTA(D27:H27)=0,"",AVERAGE(D27:H27))</x:f>
        <x:v>3.4</x:v>
      </x:c>
      <x:c r="K27" s="10" t="str">
        <x:f>IF(J27="","",IF(J27&lt;2.5,"Developing",IF(J27&lt;3.5,"Moderate","High")))</x:f>
        <x:v>Moderate</x:v>
      </x:c>
      <x:c r="L27" s="10" t="str">
        <x:v>Uses a soft and consistent palette with a pink house, brown roof and fence, red door, green vegetation, blue clouds and a dark path. The scene is neat and well organized, but has limited experimentation or additions beyond the template.</x:v>
      </x:c>
      <x:c r="M27" s="10" t="str">
        <x:v>Pending</x:v>
      </x:c>
    </x:row>
    <x:row r="28">
      <x:c r="A28" s="10" t="s">
        <x:v>35</x:v>
      </x:c>
      <x:c r="B28" s="10" t="str">
        <x:v>CC01</x:v>
      </x:c>
      <x:c r="C28" s="10" t="str">
        <x:v>S027_CC01</x:v>
      </x:c>
      <x:c r="D28" s="10" t="n">
        <x:v>3</x:v>
      </x:c>
      <x:c r="E28" s="10" t="n">
        <x:v>4</x:v>
      </x:c>
      <x:c r="F28" s="10" t="n">
        <x:v>4</x:v>
      </x:c>
      <x:c r="G28" s="10" t="n">
        <x:v>4</x:v>
      </x:c>
      <x:c r="H28" s="10" t="n">
        <x:v>4</x:v>
      </x:c>
      <x:c r="I28" s="12" t="n">
        <x:f>IF(COUNTA(D28:H28)=0,"",SUM(D28:H28))</x:f>
        <x:v>19</x:v>
      </x:c>
      <x:c r="J28" s="13" t="n">
        <x:f>IF(COUNTA(D28:H28)=0,"",AVERAGE(D28:H28))</x:f>
        <x:v>3.8</x:v>
      </x:c>
      <x:c r="K28" s="10" t="str">
        <x:f>IF(J28="","",IF(J28&lt;2.5,"Developing",IF(J28&lt;3.5,"Moderate","High")))</x:f>
        <x:v>High</x:v>
      </x:c>
      <x:c r="L28" s="10" t="str">
        <x:v>Uses a strong red house with pink roof and door, orange windows, green vegetation, brown fence and path, and blue clouds. The response is carefully completed and visually balanced, although it mainly follows the original template.</x:v>
      </x:c>
      <x:c r="M28" s="10" t="str">
        <x:v>Pending</x:v>
      </x:c>
    </x:row>
    <x:row r="29">
      <x:c r="A29" s="10" t="s">
        <x:v>36</x:v>
      </x:c>
      <x:c r="B29" s="10" t="str">
        <x:v>CC01</x:v>
      </x:c>
      <x:c r="C29" s="10" t="str">
        <x:v>S028_CC01</x:v>
      </x:c>
      <x:c r="D29" s="10" t="n">
        <x:v>3</x:v>
      </x:c>
      <x:c r="E29" s="10" t="n">
        <x:v>3</x:v>
      </x:c>
      <x:c r="F29" s="10" t="n">
        <x:v>4</x:v>
      </x:c>
      <x:c r="G29" s="10" t="n">
        <x:v>4</x:v>
      </x:c>
      <x:c r="H29" s="10" t="n">
        <x:v>4</x:v>
      </x:c>
      <x:c r="I29" s="12" t="n">
        <x:f>IF(COUNTA(D29:H29)=0,"",SUM(D29:H29))</x:f>
        <x:v>18</x:v>
      </x:c>
      <x:c r="J29" s="13" t="n">
        <x:f>IF(COUNTA(D29:H29)=0,"",AVERAGE(D29:H29))</x:f>
        <x:v>3.6</x:v>
      </x:c>
      <x:c r="K29" s="10" t="str">
        <x:f>IF(J29="","",IF(J29&lt;2.5,"Developing",IF(J29&lt;3.5,"Moderate","High")))</x:f>
        <x:v>High</x:v>
      </x:c>
      <x:c r="L29" s="10" t="str">
        <x:v>Uses a bright yellow house with red roof, blue fence and clouds, purple flowers, brown tree and a pink path. The response has good color contrast and clear organization, but contains few additions beyond the provided template.</x:v>
      </x:c>
      <x:c r="M29" s="10" t="str">
        <x:v>Pending</x:v>
      </x:c>
    </x:row>
    <x:row r="30">
      <x:c r="A30" s="10" t="s">
        <x:v>37</x:v>
      </x:c>
      <x:c r="B30" s="10" t="str">
        <x:v>CC01</x:v>
      </x:c>
      <x:c r="C30" s="10" t="str">
        <x:v>S029_CC01</x:v>
      </x:c>
      <x:c r="D30" s="10" t="n">
        <x:v>3</x:v>
      </x:c>
      <x:c r="E30" s="10" t="n">
        <x:v>3</x:v>
      </x:c>
      <x:c r="F30" s="10" t="n">
        <x:v>4</x:v>
      </x:c>
      <x:c r="G30" s="10" t="n">
        <x:v>4</x:v>
      </x:c>
      <x:c r="H30" s="10" t="n">
        <x:v>4</x:v>
      </x:c>
      <x:c r="I30" s="12" t="n">
        <x:f>IF(COUNTA(D30:H30)=0,"",SUM(D30:H30))</x:f>
        <x:v>18</x:v>
      </x:c>
      <x:c r="J30" s="13" t="n">
        <x:f>IF(COUNTA(D30:H30)=0,"",AVERAGE(D30:H30))</x:f>
        <x:v>3.6</x:v>
      </x:c>
      <x:c r="K30" s="10" t="str">
        <x:f>IF(J30="","",IF(J30&lt;2.5,"Developing",IF(J30&lt;3.5,"Moderate","High")))</x:f>
        <x:v>High</x:v>
      </x:c>
      <x:c r="L30" s="10" t="str">
        <x:v>Uses a balanced rainbow landscape palette with a yellow sun, blue clouds, green tree, purple hills, brown path and multicolored rainbow. The scene is neat and visually organized, with moderate color exploration and limited extension beyond the template.</x:v>
      </x:c>
      <x:c r="M30" s="10" t="str">
        <x:v>Pending</x:v>
      </x:c>
    </x:row>
    <x:row r="31">
      <x:c r="A31" s="10" t="s">
        <x:v>38</x:v>
      </x:c>
      <x:c r="B31" s="10" t="str">
        <x:v>CC01</x:v>
      </x:c>
      <x:c r="C31" s="10" t="str">
        <x:v>S030_CC01</x:v>
      </x:c>
      <x:c r="D31" s="10" t="n">
        <x:v>3</x:v>
      </x:c>
      <x:c r="E31" s="10" t="n">
        <x:v>3</x:v>
      </x:c>
      <x:c r="F31" s="10" t="n">
        <x:v>4</x:v>
      </x:c>
      <x:c r="G31" s="10" t="n">
        <x:v>4</x:v>
      </x:c>
      <x:c r="H31" s="10" t="n">
        <x:v>4</x:v>
      </x:c>
      <x:c r="I31" s="12" t="n">
        <x:f>IF(COUNTA(D31:H31)=0,"",SUM(D31:H31))</x:f>
        <x:v>18</x:v>
      </x:c>
      <x:c r="J31" s="13" t="n">
        <x:f>IF(COUNTA(D31:H31)=0,"",AVERAGE(D31:H31))</x:f>
        <x:v>3.6</x:v>
      </x:c>
      <x:c r="K31" s="10" t="str">
        <x:f>IF(J31="","",IF(J31&lt;2.5,"Developing",IF(J31&lt;3.5,"Moderate","High")))</x:f>
        <x:v>High</x:v>
      </x:c>
      <x:c r="L31" s="10" t="str">
        <x:v>Uses a clear range of colors across the rainbow, tree, flowers, hills and sky elements. The coloring is consistent and organized, with good contrast but limited new additions to the original scene.</x:v>
      </x:c>
      <x:c r="M31" s="10" t="str">
        <x:v>Pending</x:v>
      </x:c>
    </x:row>
    <x:row r="32">
      <x:c r="A32" s="10" t="s">
        <x:v>39</x:v>
      </x:c>
      <x:c r="B32" s="10" t="str">
        <x:v>CC01</x:v>
      </x:c>
      <x:c r="C32" s="10" t="str">
        <x:v>S031_CC01</x:v>
      </x:c>
      <x:c r="D32" s="10" t="n">
        <x:v>4</x:v>
      </x:c>
      <x:c r="E32" s="10" t="n">
        <x:v>4</x:v>
      </x:c>
      <x:c r="F32" s="10" t="n">
        <x:v>5</x:v>
      </x:c>
      <x:c r="G32" s="10" t="n">
        <x:v>4</x:v>
      </x:c>
      <x:c r="H32" s="10" t="n">
        <x:v>4</x:v>
      </x:c>
      <x:c r="I32" s="12" t="n">
        <x:f>IF(COUNTA(D32:H32)=0,"",SUM(D32:H32))</x:f>
        <x:v>21</x:v>
      </x:c>
      <x:c r="J32" s="13" t="n">
        <x:f>IF(COUNTA(D32:H32)=0,"",AVERAGE(D32:H32))</x:f>
        <x:v>4.2</x:v>
      </x:c>
      <x:c r="K32" s="10" t="str">
        <x:f>IF(J32="","",IF(J32&lt;2.5,"Developing",IF(J32&lt;3.5,"Moderate","High")))</x:f>
        <x:v>High</x:v>
      </x:c>
      <x:c r="L32" s="10" t="str">
        <x:v>Shows distinctive color exploration through a blue-toned landscape, multicolored rainbow, red and pink bands, dark accents and varied flower colors. The unusual palette and strong coverage make the response visually distinctive.</x:v>
      </x:c>
      <x:c r="M32" s="10" t="str">
        <x:v>Pending</x:v>
      </x:c>
    </x:row>
    <x:row r="33">
      <x:c r="A33" s="10" t="s">
        <x:v>40</x:v>
      </x:c>
      <x:c r="B33" s="10" t="str">
        <x:v>CC01</x:v>
      </x:c>
      <x:c r="C33" s="10" t="str">
        <x:v>S032_CC01</x:v>
      </x:c>
      <x:c r="D33" s="10" t="n">
        <x:v>3</x:v>
      </x:c>
      <x:c r="E33" s="10" t="n">
        <x:v>3</x:v>
      </x:c>
      <x:c r="F33" s="10" t="n">
        <x:v>4</x:v>
      </x:c>
      <x:c r="G33" s="10" t="n">
        <x:v>3</x:v>
      </x:c>
      <x:c r="H33" s="10" t="n">
        <x:v>4</x:v>
      </x:c>
      <x:c r="I33" s="12" t="n">
        <x:f>IF(COUNTA(D33:H33)=0,"",SUM(D33:H33))</x:f>
        <x:v>17</x:v>
      </x:c>
      <x:c r="J33" s="13" t="n">
        <x:f>IF(COUNTA(D33:H33)=0,"",AVERAGE(D33:H33))</x:f>
        <x:v>3.4</x:v>
      </x:c>
      <x:c r="K33" s="10" t="str">
        <x:f>IF(J33="","",IF(J33&lt;2.5,"Developing",IF(J33&lt;3.5,"Moderate","High")))</x:f>
        <x:v>Moderate</x:v>
      </x:c>
      <x:c r="L33" s="10" t="str">
        <x:v>Uses a green landscape, gray path, blue clouds and a multicolored rainbow with several contrasting colors. The scene remains organized, although some areas are lightly colored or unfinished and there are limited additions beyond the template.</x:v>
      </x:c>
      <x:c r="M33" s="10" t="str">
        <x:v>Pending</x:v>
      </x:c>
    </x:row>
    <x:row r="34">
      <x:c r="A34" s="10" t="s">
        <x:v>41</x:v>
      </x:c>
      <x:c r="B34" s="10" t="str">
        <x:v>CC01</x:v>
      </x:c>
      <x:c r="C34" s="10" t="str">
        <x:v>S033_CC01</x:v>
      </x:c>
      <x:c r="D34" s="10" t="n">
        <x:v>4</x:v>
      </x:c>
      <x:c r="E34" s="10" t="n">
        <x:v>4</x:v>
      </x:c>
      <x:c r="F34" s="10" t="n">
        <x:v>5</x:v>
      </x:c>
      <x:c r="G34" s="10" t="n">
        <x:v>5</x:v>
      </x:c>
      <x:c r="H34" s="10" t="n">
        <x:v>5</x:v>
      </x:c>
      <x:c r="I34" s="12" t="n">
        <x:f>IF(COUNTA(D34:H34)=0,"",SUM(D34:H34))</x:f>
        <x:v>23</x:v>
      </x:c>
      <x:c r="J34" s="13" t="n">
        <x:f>IF(COUNTA(D34:H34)=0,"",AVERAGE(D34:H34))</x:f>
        <x:v>4.6</x:v>
      </x:c>
      <x:c r="K34" s="10" t="str">
        <x:f>IF(J34="","",IF(J34&lt;2.5,"Developing",IF(J34&lt;3.5,"Moderate","High")))</x:f>
        <x:v>High</x:v>
      </x:c>
      <x:c r="L34" s="10" t="str">
        <x:v>Shows rich color exploration and detail in the underwater scene, using varied colors for fish, jellyfish, coral, sea plants, shell, rocks, starfish and water. The page is extensively colored and the elements remain clearly organized, producing a strong and visually engaging response.</x:v>
      </x:c>
      <x:c r="M34" s="10" t="str">
        <x:v>Pending</x:v>
      </x:c>
    </x:row>
    <x:row r="35">
      <x:c r="A35" s="10" t="s">
        <x:v>42</x:v>
      </x:c>
      <x:c r="B35" s="10" t="str">
        <x:v>CC01</x:v>
      </x:c>
      <x:c r="C35" s="10" t="str">
        <x:v>S034_CC01</x:v>
      </x:c>
      <x:c r="D35" s="10" t="n">
        <x:v>4</x:v>
      </x:c>
      <x:c r="E35" s="10" t="n">
        <x:v>4</x:v>
      </x:c>
      <x:c r="F35" s="10" t="n">
        <x:v>4</x:v>
      </x:c>
      <x:c r="G35" s="10" t="n">
        <x:v>4</x:v>
      </x:c>
      <x:c r="H35" s="10" t="n">
        <x:v>4</x:v>
      </x:c>
      <x:c r="I35" s="12" t="n">
        <x:f>IF(COUNTA(D35:H35)=0,"",SUM(D35:H35))</x:f>
        <x:v>20</x:v>
      </x:c>
      <x:c r="J35" s="13" t="n">
        <x:f>IF(COUNTA(D35:H35)=0,"",AVERAGE(D35:H35))</x:f>
        <x:v>4</x:v>
      </x:c>
      <x:c r="K35" s="10" t="str">
        <x:f>IF(J35="","",IF(J35&lt;2.5,"Developing",IF(J35&lt;3.5,"Moderate","High")))</x:f>
        <x:v>High</x:v>
      </x:c>
      <x:c r="L35" s="10" t="str">
        <x:v>Uses a complete underwater color scheme with blue water, green sea plants, a purple fish, brown fish, yellow shell, orange starfish and dark rocks. The response is well covered and organized, with good color variety and detail.</x:v>
      </x:c>
      <x:c r="M35" s="10" t="str">
        <x:v>Pending</x:v>
      </x:c>
    </x:row>
    <x:row r="36">
      <x:c r="A36" s="10" t="s">
        <x:v>43</x:v>
      </x:c>
      <x:c r="B36" s="10" t="str">
        <x:v>CC01</x:v>
      </x:c>
      <x:c r="C36" s="10" t="str">
        <x:v>S035_CC01</x:v>
      </x:c>
      <x:c r="D36" s="10" t="n">
        <x:v>5</x:v>
      </x:c>
      <x:c r="E36" s="10" t="n">
        <x:v>5</x:v>
      </x:c>
      <x:c r="F36" s="10" t="n">
        <x:v>4</x:v>
      </x:c>
      <x:c r="G36" s="10" t="n">
        <x:v>4</x:v>
      </x:c>
      <x:c r="H36" s="10" t="n">
        <x:v>4</x:v>
      </x:c>
      <x:c r="I36" s="12" t="n">
        <x:f>IF(COUNTA(D36:H36)=0,"",SUM(D36:H36))</x:f>
        <x:v>22</x:v>
      </x:c>
      <x:c r="J36" s="13" t="n">
        <x:f>IF(COUNTA(D36:H36)=0,"",AVERAGE(D36:H36))</x:f>
        <x:v>4.4</x:v>
      </x:c>
      <x:c r="K36" s="10" t="str">
        <x:f>IF(J36="","",IF(J36&lt;2.5,"Developing",IF(J36&lt;3.5,"Moderate","High")))</x:f>
        <x:v>High</x:v>
      </x:c>
      <x:c r="L36" s="10" t="str">
        <x:v>Extends the underwater template by adding a small hand-drawn fish in the center. The response uses red, yellow, green, brown and blue across the fish, shell, plants, rocks and water, showing strong originality and elaboration.</x:v>
      </x:c>
      <x:c r="M36" s="10" t="str">
        <x:v>Pending</x:v>
      </x:c>
    </x:row>
    <x:row r="37">
      <x:c r="A37" s="10" t="s">
        <x:v>44</x:v>
      </x:c>
      <x:c r="B37" s="10" t="str">
        <x:v>CC01</x:v>
      </x:c>
      <x:c r="C37" s="10" t="str">
        <x:v>S036_CC01</x:v>
      </x:c>
      <x:c r="D37" s="10" t="n">
        <x:v>4</x:v>
      </x:c>
      <x:c r="E37" s="10" t="n">
        <x:v>4</x:v>
      </x:c>
      <x:c r="F37" s="10" t="n">
        <x:v>4</x:v>
      </x:c>
      <x:c r="G37" s="10" t="n">
        <x:v>4</x:v>
      </x:c>
      <x:c r="H37" s="10" t="n">
        <x:v>4</x:v>
      </x:c>
      <x:c r="I37" s="12" t="n">
        <x:f>IF(COUNTA(D37:H37)=0,"",SUM(D37:H37))</x:f>
        <x:v>20</x:v>
      </x:c>
      <x:c r="J37" s="13" t="n">
        <x:f>IF(COUNTA(D37:H37)=0,"",AVERAGE(D37:H37))</x:f>
        <x:v>4</x:v>
      </x:c>
      <x:c r="K37" s="10" t="str">
        <x:f>IF(J37="","",IF(J37&lt;2.5,"Developing",IF(J37&lt;3.5,"Moderate","High")))</x:f>
        <x:v>High</x:v>
      </x:c>
      <x:c r="L37" s="10" t="str">
        <x:v>Uses a complete underwater palette with blue water, green plants, a purple fish, brown fish, yellow shell, orange starfish and dark rocks. This image appears visually very similar to S034_CC01, so the source files should be checked for a possible duplicate before model training.</x:v>
      </x:c>
      <x:c r="M37" s="10" t="str">
        <x:v>Pending</x:v>
      </x:c>
    </x:row>
    <x:row r="38">
      <x:c r="A38" s="10" t="s">
        <x:v>45</x:v>
      </x:c>
      <x:c r="B38" s="10" t="str">
        <x:v>CC01</x:v>
      </x:c>
      <x:c r="C38" s="10" t="str">
        <x:v>S037_CC01</x:v>
      </x:c>
      <x:c r="D38" s="10" t="n">
        <x:v>4</x:v>
      </x:c>
      <x:c r="E38" s="10" t="n">
        <x:v>4</x:v>
      </x:c>
      <x:c r="F38" s="10" t="n">
        <x:v>5</x:v>
      </x:c>
      <x:c r="G38" s="10" t="n">
        <x:v>5</x:v>
      </x:c>
      <x:c r="H38" s="10" t="n">
        <x:v>5</x:v>
      </x:c>
      <x:c r="I38" s="12" t="n">
        <x:f>IF(COUNTA(D38:H38)=0,"",SUM(D38:H38))</x:f>
        <x:v>23</x:v>
      </x:c>
      <x:c r="J38" s="13" t="n">
        <x:f>IF(COUNTA(D38:H38)=0,"",AVERAGE(D38:H38))</x:f>
        <x:v>4.6</x:v>
      </x:c>
      <x:c r="K38" s="10" t="str">
        <x:f>IF(J38="","",IF(J38&lt;2.5,"Developing",IF(J38&lt;3.5,"Moderate","High")))</x:f>
        <x:v>High</x:v>
      </x:c>
      <x:c r="L38" s="10" t="str">
        <x:v>Shows strong color exploration in the underwater scene with a multicolored striped fish, orange-and-pink shell, red coral, purple starfish, green plants and varied fish colors. The scene is detailed, fully developed and visually well organized.</x:v>
      </x:c>
      <x:c r="M38" s="10" t="str">
        <x:v>Pending</x:v>
      </x:c>
    </x:row>
    <x:row r="39">
      <x:c r="A39" s="10" t="s">
        <x:v>46</x:v>
      </x:c>
      <x:c r="B39" s="10" t="str">
        <x:v>CC01</x:v>
      </x:c>
      <x:c r="C39" s="10" t="str">
        <x:v>S038_CC01</x:v>
      </x:c>
      <x:c r="D39" s="10" t="n">
        <x:v>3</x:v>
      </x:c>
      <x:c r="E39" s="10" t="n">
        <x:v>3</x:v>
      </x:c>
      <x:c r="F39" s="10" t="n">
        <x:v>4</x:v>
      </x:c>
      <x:c r="G39" s="10" t="n">
        <x:v>4</x:v>
      </x:c>
      <x:c r="H39" s="10" t="n">
        <x:v>4</x:v>
      </x:c>
      <x:c r="I39" s="12" t="n">
        <x:f>IF(COUNTA(D39:H39)=0,"",SUM(D39:H39))</x:f>
        <x:v>18</x:v>
      </x:c>
      <x:c r="J39" s="13" t="n">
        <x:f>IF(COUNTA(D39:H39)=0,"",AVERAGE(D39:H39))</x:f>
        <x:v>3.6</x:v>
      </x:c>
      <x:c r="K39" s="10" t="str">
        <x:f>IF(J39="","",IF(J39&lt;2.5,"Developing",IF(J39&lt;3.5,"Moderate","High")))</x:f>
        <x:v>High</x:v>
      </x:c>
      <x:c r="L39" s="10" t="str">
        <x:v>Uses a clear rainbow landscape palette with a yellow sun, blue clouds, green tree, multicolored rainbow, flowers and a colored path. The picture is neat and balanced, with moderate color exploration but limited extension beyond the provided template.</x:v>
      </x:c>
      <x:c r="M39" s="10" t="str">
        <x:v>Pending</x:v>
      </x:c>
    </x:row>
    <x:row r="40">
      <x:c r="A40" s="10" t="s">
        <x:v>47</x:v>
      </x:c>
      <x:c r="B40" s="10" t="str">
        <x:v>CC01</x:v>
      </x:c>
      <x:c r="C40" s="10" t="str">
        <x:v>S039_CC01</x:v>
      </x:c>
      <x:c r="D40" s="10" t="n">
        <x:v>4</x:v>
      </x:c>
      <x:c r="E40" s="10" t="n">
        <x:v>4</x:v>
      </x:c>
      <x:c r="F40" s="10" t="n">
        <x:v>5</x:v>
      </x:c>
      <x:c r="G40" s="10" t="n">
        <x:v>4</x:v>
      </x:c>
      <x:c r="H40" s="10" t="n">
        <x:v>4</x:v>
      </x:c>
      <x:c r="I40" s="12" t="n">
        <x:f>IF(COUNTA(D40:H40)=0,"",SUM(D40:H40))</x:f>
        <x:v>21</x:v>
      </x:c>
      <x:c r="J40" s="13" t="n">
        <x:f>IF(COUNTA(D40:H40)=0,"",AVERAGE(D40:H40))</x:f>
        <x:v>4.2</x:v>
      </x:c>
      <x:c r="K40" s="10" t="str">
        <x:f>IF(J40="","",IF(J40&lt;2.5,"Developing",IF(J40&lt;3.5,"Moderate","High")))</x:f>
        <x:v>High</x:v>
      </x:c>
      <x:c r="L40" s="10" t="str">
        <x:v>Uses extensive color coverage across the rainbow scene, including a green background, blue foreground, brown path, orange hill, multicolored rainbow and bright flowers. The bold page-wide coloring makes the response visually distinctive and shows strong color exploration.</x:v>
      </x:c>
      <x:c r="M40" s="10" t="str">
        <x:v>Pending</x:v>
      </x:c>
    </x:row>
    <x:row r="41">
      <x:c r="A41" s="10" t="s">
        <x:v>48</x:v>
      </x:c>
      <x:c r="B41" s="10" t="str">
        <x:v>CC01</x:v>
      </x:c>
      <x:c r="C41" s="10" t="str">
        <x:v>S040_CC01</x:v>
      </x:c>
      <x:c r="D41" s="10" t="n">
        <x:v>3</x:v>
      </x:c>
      <x:c r="E41" s="10" t="n">
        <x:v>4</x:v>
      </x:c>
      <x:c r="F41" s="10" t="n">
        <x:v>4</x:v>
      </x:c>
      <x:c r="G41" s="10" t="n">
        <x:v>4</x:v>
      </x:c>
      <x:c r="H41" s="10" t="n">
        <x:v>4</x:v>
      </x:c>
      <x:c r="I41" s="12" t="n">
        <x:f>IF(COUNTA(D41:H41)=0,"",SUM(D41:H41))</x:f>
        <x:v>19</x:v>
      </x:c>
      <x:c r="J41" s="13" t="n">
        <x:f>IF(COUNTA(D41:H41)=0,"",AVERAGE(D41:H41))</x:f>
        <x:v>3.8</x:v>
      </x:c>
      <x:c r="K41" s="10" t="str">
        <x:f>IF(J41="","",IF(J41&lt;2.5,"Developing",IF(J41&lt;3.5,"Moderate","High")))</x:f>
        <x:v>High</x:v>
      </x:c>
      <x:c r="L41" s="10" t="str">
        <x:v>Uses a clear rainbow landscape palette with a yellow sun, blue clouds, green tree and vegetation, brown path, bright flowers and a multicolored rainbow. The response is carefully completed and well organized, with good color variety but limited extension beyond the provided template.</x:v>
      </x:c>
      <x:c r="M41" s="10" t="str">
        <x:v>Pending</x:v>
      </x:c>
    </x:row>
    <x:row r="42">
      <x:c r="A42" s="10" t="s">
        <x:v>49</x:v>
      </x:c>
      <x:c r="B42" s="10" t="str">
        <x:v>CC01</x:v>
      </x:c>
      <x:c r="C42" s="10" t="str">
        <x:v>S041_CC01</x:v>
      </x:c>
      <x:c r="D42" s="10" t="n">
        <x:v>3</x:v>
      </x:c>
      <x:c r="E42" s="10" t="n">
        <x:v>3</x:v>
      </x:c>
      <x:c r="F42" s="10" t="n">
        <x:v>4</x:v>
      </x:c>
      <x:c r="G42" s="10" t="n">
        <x:v>4</x:v>
      </x:c>
      <x:c r="H42" s="10" t="n">
        <x:v>4</x:v>
      </x:c>
      <x:c r="I42" s="12" t="n">
        <x:f>IF(COUNTA(D42:H42)=0,"",SUM(D42:H42))</x:f>
        <x:v>18</x:v>
      </x:c>
      <x:c r="J42" s="13" t="n">
        <x:f>IF(COUNTA(D42:H42)=0,"",AVERAGE(D42:H42))</x:f>
        <x:v>3.6</x:v>
      </x:c>
      <x:c r="K42" s="10" t="str">
        <x:f>IF(J42="","",IF(J42&lt;2.5,"Developing",IF(J42&lt;3.5,"Moderate","High")))</x:f>
        <x:v>High</x:v>
      </x:c>
      <x:c r="L42" s="10" t="str">
        <x:v>Uses a balanced color scheme with a yellow sun, blue clouds, green tree, blue flowers and a multicolored rainbow. The scene is neat and visually organized, though the ground and path areas are less fully developed and there are few additions beyond the template.</x:v>
      </x:c>
      <x:c r="M42" s="10" t="str">
        <x:v>Pending</x:v>
      </x:c>
    </x:row>
    <x:row r="43">
      <x:c r="A43" s="10" t="s">
        <x:v>50</x:v>
      </x:c>
      <x:c r="B43" s="10" t="str">
        <x:v>CC01</x:v>
      </x:c>
      <x:c r="C43" s="10" t="str">
        <x:v>S042_CC01</x:v>
      </x:c>
      <x:c r="D43" s="10" t="n">
        <x:v>3</x:v>
      </x:c>
      <x:c r="E43" s="10" t="n">
        <x:v>3</x:v>
      </x:c>
      <x:c r="F43" s="10" t="n">
        <x:v>4</x:v>
      </x:c>
      <x:c r="G43" s="10" t="n">
        <x:v>4</x:v>
      </x:c>
      <x:c r="H43" s="10" t="n">
        <x:v>4</x:v>
      </x:c>
      <x:c r="I43" s="12" t="n">
        <x:f>IF(COUNTA(D43:H43)=0,"",SUM(D43:H43))</x:f>
        <x:v>18</x:v>
      </x:c>
      <x:c r="J43" s="13" t="n">
        <x:f>IF(COUNTA(D43:H43)=0,"",AVERAGE(D43:H43))</x:f>
        <x:v>3.6</x:v>
      </x:c>
      <x:c r="K43" s="10" t="str">
        <x:f>IF(J43="","",IF(J43&lt;2.5,"Developing",IF(J43&lt;3.5,"Moderate","High")))</x:f>
        <x:v>High</x:v>
      </x:c>
      <x:c r="L43" s="10" t="str">
        <x:v>Uses a consistent rainbow scene with a yellow sun, blue clouds, green tree, pink flowers, brown path and several rainbow colors. The work is clear and balanced, with moderate color exploration and limited creative extension beyond the provided picture.</x:v>
      </x:c>
      <x:c r="M43" s="10" t="str">
        <x:v>Pending</x:v>
      </x:c>
    </x:row>
    <x:row r="44">
      <x:c r="A44" s="10" t="s">
        <x:v>51</x:v>
      </x:c>
      <x:c r="B44" s="10" t="str">
        <x:v>CC01</x:v>
      </x:c>
      <x:c r="C44" s="10" t="str">
        <x:v>S043_CC01</x:v>
      </x:c>
      <x:c r="D44" s="10" t="n">
        <x:v>4</x:v>
      </x:c>
      <x:c r="E44" s="10" t="n">
        <x:v>4</x:v>
      </x:c>
      <x:c r="F44" s="10" t="n">
        <x:v>4</x:v>
      </x:c>
      <x:c r="G44" s="10" t="n">
        <x:v>4</x:v>
      </x:c>
      <x:c r="H44" s="10" t="n">
        <x:v>4</x:v>
      </x:c>
      <x:c r="I44" s="12" t="n">
        <x:f>IF(COUNTA(D44:H44)=0,"",SUM(D44:H44))</x:f>
        <x:v>20</x:v>
      </x:c>
      <x:c r="J44" s="13" t="n">
        <x:f>IF(COUNTA(D44:H44)=0,"",AVERAGE(D44:H44))</x:f>
        <x:v>4</x:v>
      </x:c>
      <x:c r="K44" s="10" t="str">
        <x:f>IF(J44="","",IF(J44&lt;2.5,"Developing",IF(J44&lt;3.5,"Moderate","High")))</x:f>
        <x:v>High</x:v>
      </x:c>
      <x:c r="L44" s="10" t="str">
        <x:v>Uses strong full-scene coloring in the underwater activity with a blue water background, green plants, brown rocks, a yellow shell and starfish, and orange-yellow fish. The response shows good color contrast, coverage, detail and visual organization.</x:v>
      </x:c>
      <x:c r="M44" s="10" t="str">
        <x:v>Pending</x:v>
      </x:c>
    </x:row>
    <x:row r="45">
      <x:c r="A45" s="10" t="s">
        <x:v>52</x:v>
      </x:c>
      <x:c r="B45" s="10" t="str">
        <x:v>CC01</x:v>
      </x:c>
      <x:c r="C45" s="10" t="str">
        <x:v>S044_CC01</x:v>
      </x:c>
      <x:c r="D45" s="10" t="n">
        <x:v>3</x:v>
      </x:c>
      <x:c r="E45" s="10" t="n">
        <x:v>3</x:v>
      </x:c>
      <x:c r="F45" s="10" t="n">
        <x:v>4</x:v>
      </x:c>
      <x:c r="G45" s="10" t="n">
        <x:v>4</x:v>
      </x:c>
      <x:c r="H45" s="10" t="n">
        <x:v>4</x:v>
      </x:c>
      <x:c r="I45" s="12" t="n">
        <x:f>IF(COUNTA(D45:H45)=0,"",SUM(D45:H45))</x:f>
        <x:v>18</x:v>
      </x:c>
      <x:c r="J45" s="13" t="n">
        <x:f>IF(COUNTA(D45:H45)=0,"",AVERAGE(D45:H45))</x:f>
        <x:v>3.6</x:v>
      </x:c>
      <x:c r="K45" s="10" t="str">
        <x:f>IF(J45="","",IF(J45&lt;2.5,"Developing",IF(J45&lt;3.5,"Moderate","High")))</x:f>
        <x:v>High</x:v>
      </x:c>
      <x:c r="L45" s="10" t="str">
        <x:v>Uses a neat rainbow landscape palette with a yellow sun, blue clouds, green vegetation, brown path, pink flowers and a multicolored rainbow. The scene is well organized and carefully colored but contains few additions beyond the original template.</x:v>
      </x:c>
      <x:c r="M45" s="10" t="str">
        <x:v>Pending</x:v>
      </x:c>
    </x:row>
    <x:row r="46">
      <x:c r="A46" s="10" t="s">
        <x:v>53</x:v>
      </x:c>
      <x:c r="B46" s="10" t="str">
        <x:v>CC01</x:v>
      </x:c>
      <x:c r="C46" s="10" t="str">
        <x:v>S045_CC01</x:v>
      </x:c>
      <x:c r="D46" s="10" t="n">
        <x:v>4</x:v>
      </x:c>
      <x:c r="E46" s="10" t="n">
        <x:v>4</x:v>
      </x:c>
      <x:c r="F46" s="10" t="n">
        <x:v>5</x:v>
      </x:c>
      <x:c r="G46" s="10" t="n">
        <x:v>4</x:v>
      </x:c>
      <x:c r="H46" s="10" t="n">
        <x:v>4</x:v>
      </x:c>
      <x:c r="I46" s="12" t="n">
        <x:f>IF(COUNTA(D46:H46)=0,"",SUM(D46:H46))</x:f>
        <x:v>21</x:v>
      </x:c>
      <x:c r="J46" s="13" t="n">
        <x:f>IF(COUNTA(D46:H46)=0,"",AVERAGE(D46:H46))</x:f>
        <x:v>4.2</x:v>
      </x:c>
      <x:c r="K46" s="10" t="str">
        <x:f>IF(J46="","",IF(J46&lt;2.5,"Developing",IF(J46&lt;3.5,"Moderate","High")))</x:f>
        <x:v>High</x:v>
      </x:c>
      <x:c r="L46" s="10" t="str">
        <x:v>Shows extensive color coverage across the rainbow landscape with broad green ground areas, a brown path and tree, light blue sky, blue clouds and a varied rainbow. The strong page coverage and contrasting palette create a visually distinctive response.</x:v>
      </x:c>
      <x:c r="M46" s="10" t="str">
        <x:v>Pending</x:v>
      </x:c>
    </x:row>
    <x:row r="47">
      <x:c r="A47" s="10" t="s">
        <x:v>54</x:v>
      </x:c>
      <x:c r="B47" s="10" t="str">
        <x:v>CC01</x:v>
      </x:c>
      <x:c r="C47" s="10" t="str">
        <x:v>S046_CC01</x:v>
      </x:c>
      <x:c r="D47" s="10" t="n">
        <x:v>4</x:v>
      </x:c>
      <x:c r="E47" s="10" t="n">
        <x:v>4</x:v>
      </x:c>
      <x:c r="F47" s="10" t="n">
        <x:v>5</x:v>
      </x:c>
      <x:c r="G47" s="10" t="n">
        <x:v>4</x:v>
      </x:c>
      <x:c r="H47" s="10" t="n">
        <x:v>4</x:v>
      </x:c>
      <x:c r="I47" s="12" t="n">
        <x:f>IF(COUNTA(D47:H47)=0,"",SUM(D47:H47))</x:f>
        <x:v>21</x:v>
      </x:c>
      <x:c r="J47" s="13" t="n">
        <x:f>IF(COUNTA(D47:H47)=0,"",AVERAGE(D47:H47))</x:f>
        <x:v>4.2</x:v>
      </x:c>
      <x:c r="K47" s="10" t="str">
        <x:f>IF(J47="","",IF(J47&lt;2.5,"Developing",IF(J47&lt;3.5,"Moderate","High")))</x:f>
        <x:v>High</x:v>
      </x:c>
      <x:c r="L47" s="10" t="str">
        <x:v>Uses strong full-scene coloring in the rainbow landscape with a dark blue sky, light blue clouds, green tree and vegetation, brown path, pink flowers and a contrasting multicolored rainbow. The broad background coverage and strong contrast make the response visually distinctive.</x:v>
      </x:c>
      <x:c r="M47" s="10" t="str">
        <x:v>Pending</x:v>
      </x:c>
    </x:row>
    <x:row r="48">
      <x:c r="A48" s="10" t="s">
        <x:v>55</x:v>
      </x:c>
      <x:c r="B48" s="10" t="str">
        <x:v>CC01</x:v>
      </x:c>
      <x:c r="C48" s="10" t="str">
        <x:v>S047_CC01</x:v>
      </x:c>
      <x:c r="D48" s="10" t="n">
        <x:v>3</x:v>
      </x:c>
      <x:c r="E48" s="10" t="n">
        <x:v>3</x:v>
      </x:c>
      <x:c r="F48" s="10" t="n">
        <x:v>4</x:v>
      </x:c>
      <x:c r="G48" s="10" t="n">
        <x:v>4</x:v>
      </x:c>
      <x:c r="H48" s="10" t="n">
        <x:v>4</x:v>
      </x:c>
      <x:c r="I48" s="12" t="n">
        <x:f>IF(COUNTA(D48:H48)=0,"",SUM(D48:H48))</x:f>
        <x:v>18</x:v>
      </x:c>
      <x:c r="J48" s="13" t="n">
        <x:f>IF(COUNTA(D48:H48)=0,"",AVERAGE(D48:H48))</x:f>
        <x:v>3.6</x:v>
      </x:c>
      <x:c r="K48" s="10" t="str">
        <x:f>IF(J48="","",IF(J48&lt;2.5,"Developing",IF(J48&lt;3.5,"Moderate","High")))</x:f>
        <x:v>High</x:v>
      </x:c>
      <x:c r="L48" s="10" t="str">
        <x:v>Uses a soft underwater palette with light blue water, green plants, brown rocks, a pink shell and starfish, and yellow-purple fish. The scene is clear and well organized, with moderate color exploration and limited extension beyond the provided template.</x:v>
      </x:c>
      <x:c r="M48" s="10" t="str">
        <x:v>Pending</x:v>
      </x:c>
    </x:row>
    <x:row r="49">
      <x:c r="A49" s="10" t="s">
        <x:v>56</x:v>
      </x:c>
      <x:c r="B49" s="10" t="str">
        <x:v>CC01</x:v>
      </x:c>
      <x:c r="C49" s="10" t="str">
        <x:v>S048_CC01</x:v>
      </x:c>
      <x:c r="D49" s="10" t="n">
        <x:v>4</x:v>
      </x:c>
      <x:c r="E49" s="10" t="n">
        <x:v>4</x:v>
      </x:c>
      <x:c r="F49" s="10" t="n">
        <x:v>5</x:v>
      </x:c>
      <x:c r="G49" s="10" t="n">
        <x:v>4</x:v>
      </x:c>
      <x:c r="H49" s="10" t="n">
        <x:v>4</x:v>
      </x:c>
      <x:c r="I49" s="12" t="n">
        <x:f>IF(COUNTA(D49:H49)=0,"",SUM(D49:H49))</x:f>
        <x:v>21</x:v>
      </x:c>
      <x:c r="J49" s="13" t="n">
        <x:f>IF(COUNTA(D49:H49)=0,"",AVERAGE(D49:H49))</x:f>
        <x:v>4.2</x:v>
      </x:c>
      <x:c r="K49" s="10" t="str">
        <x:f>IF(J49="","",IF(J49&lt;2.5,"Developing",IF(J49&lt;3.5,"Moderate","High")))</x:f>
        <x:v>High</x:v>
      </x:c>
      <x:c r="L49" s="10" t="str">
        <x:v>Shows strong color exploration in the underwater scene with bright blue water, pink seabed, purple shell, green starfish and plants, yellow fish, and contrasting pink-blue wave bands. The extensive color coverage creates a distinctive and organized result.</x:v>
      </x:c>
      <x:c r="M49" s="10" t="str">
        <x:v>Pending</x:v>
      </x:c>
    </x:row>
    <x:row r="50">
      <x:c r="A50" s="10" t="s">
        <x:v>57</x:v>
      </x:c>
      <x:c r="B50" s="10" t="str">
        <x:v>CC01</x:v>
      </x:c>
      <x:c r="C50" s="10" t="str">
        <x:v>S049_CC01</x:v>
      </x:c>
      <x:c r="D50" s="10" t="n">
        <x:v>4</x:v>
      </x:c>
      <x:c r="E50" s="10" t="n">
        <x:v>4</x:v>
      </x:c>
      <x:c r="F50" s="10" t="n">
        <x:v>5</x:v>
      </x:c>
      <x:c r="G50" s="10" t="n">
        <x:v>4</x:v>
      </x:c>
      <x:c r="H50" s="10" t="n">
        <x:v>4</x:v>
      </x:c>
      <x:c r="I50" s="12" t="n">
        <x:f>IF(COUNTA(D50:H50)=0,"",SUM(D50:H50))</x:f>
        <x:v>21</x:v>
      </x:c>
      <x:c r="J50" s="13" t="n">
        <x:f>IF(COUNTA(D50:H50)=0,"",AVERAGE(D50:H50))</x:f>
        <x:v>4.2</x:v>
      </x:c>
      <x:c r="K50" s="10" t="str">
        <x:f>IF(J50="","",IF(J50&lt;2.5,"Developing",IF(J50&lt;3.5,"Moderate","High")))</x:f>
        <x:v>High</x:v>
      </x:c>
      <x:c r="L50" s="10" t="str">
        <x:v>Uses extensive color coverage in the rainbow landscape with broad green ground areas, a dark path, bright flowers, blue clouds and a multicolored rainbow. The bold contrast and page-wide coloring show strong color exploration and clear visual organization.</x:v>
      </x:c>
      <x:c r="M50" s="10" t="str">
        <x:v>Pending</x:v>
      </x:c>
    </x:row>
    <x:row r="51">
      <x:c r="A51" s="10" t="s">
        <x:v>58</x:v>
      </x:c>
      <x:c r="B51" s="10" t="str">
        <x:v>CC01</x:v>
      </x:c>
      <x:c r="C51" s="10" t="str">
        <x:v>S050_CC01</x:v>
      </x:c>
      <x:c r="D51" s="10" t="n">
        <x:v>4</x:v>
      </x:c>
      <x:c r="E51" s="10" t="n">
        <x:v>4</x:v>
      </x:c>
      <x:c r="F51" s="10" t="n">
        <x:v>5</x:v>
      </x:c>
      <x:c r="G51" s="10" t="n">
        <x:v>4</x:v>
      </x:c>
      <x:c r="H51" s="10" t="n">
        <x:v>4</x:v>
      </x:c>
      <x:c r="I51" s="12" t="n">
        <x:f>IF(COUNTA(D51:H51)=0,"",SUM(D51:H51))</x:f>
        <x:v>21</x:v>
      </x:c>
      <x:c r="J51" s="13" t="n">
        <x:f>IF(COUNTA(D51:H51)=0,"",AVERAGE(D51:H51))</x:f>
        <x:v>4.2</x:v>
      </x:c>
      <x:c r="K51" s="10" t="str">
        <x:f>IF(J51="","",IF(J51&lt;2.5,"Developing",IF(J51&lt;3.5,"Moderate","High")))</x:f>
        <x:v>High</x:v>
      </x:c>
      <x:c r="L51" s="10" t="str">
        <x:v>Uses an unusual underwater palette with a broad pink water background, aqua seabed, blue and red wave bands, orange shell, red starfish, green plants and contrasting fish colors. The strong full-page coloring and varied palette make the response visually distinctive.</x:v>
      </x:c>
      <x:c r="M51" s="10" t="str">
        <x:v>Pending</x:v>
      </x:c>
    </x:row>
    <x:row r="52">
      <x:c r="A52" s="10" t="s">
        <x:v>59</x:v>
      </x:c>
      <x:c r="B52" s="10" t="str">
        <x:v>CC01</x:v>
      </x:c>
      <x:c r="C52" s="10" t="str">
        <x:v>S051_CC01</x:v>
      </x:c>
      <x:c r="D52" s="10" t="n">
        <x:v>4</x:v>
      </x:c>
      <x:c r="E52" s="10" t="n">
        <x:v>4</x:v>
      </x:c>
      <x:c r="F52" s="10" t="n">
        <x:v>5</x:v>
      </x:c>
      <x:c r="G52" s="10" t="n">
        <x:v>4</x:v>
      </x:c>
      <x:c r="H52" s="10" t="n">
        <x:v>4</x:v>
      </x:c>
      <x:c r="I52" s="12" t="n">
        <x:f>IF(COUNTA(D52:H52)=0,"",SUM(D52:H52))</x:f>
        <x:v>21</x:v>
      </x:c>
      <x:c r="J52" s="13" t="n">
        <x:f>IF(COUNTA(D52:H52)=0,"",AVERAGE(D52:H52))</x:f>
        <x:v>4.2</x:v>
      </x:c>
      <x:c r="K52" s="10" t="str">
        <x:f>IF(J52="","",IF(J52&lt;2.5,"Developing",IF(J52&lt;3.5,"Moderate","High")))</x:f>
        <x:v>High</x:v>
      </x:c>
      <x:c r="L52" s="10" t="str">
        <x:v>Uses a distinctive underwater palette with orange water, pink seabed, blue border waves, multicolored shell, pink fish and green plants. The unusual background choice and broad color coverage show strong color exploration while maintaining clear organization.</x:v>
      </x:c>
      <x:c r="M52" s="10" t="str">
        <x:v>Pending</x:v>
      </x:c>
    </x:row>
    <x:row r="53">
      <x:c r="A53" s="10" t="s">
        <x:v>60</x:v>
      </x:c>
      <x:c r="B53" s="10" t="str">
        <x:v>CC01</x:v>
      </x:c>
      <x:c r="C53" s="10" t="str">
        <x:v>S052_CC01</x:v>
      </x:c>
      <x:c r="D53" s="10" t="n">
        <x:v>3</x:v>
      </x:c>
      <x:c r="E53" s="10" t="n">
        <x:v>3</x:v>
      </x:c>
      <x:c r="F53" s="10" t="n">
        <x:v>4</x:v>
      </x:c>
      <x:c r="G53" s="10" t="n">
        <x:v>4</x:v>
      </x:c>
      <x:c r="H53" s="10" t="n">
        <x:v>4</x:v>
      </x:c>
      <x:c r="I53" s="12" t="n">
        <x:f>IF(COUNTA(D53:H53)=0,"",SUM(D53:H53))</x:f>
        <x:v>18</x:v>
      </x:c>
      <x:c r="J53" s="13" t="n">
        <x:f>IF(COUNTA(D53:H53)=0,"",AVERAGE(D53:H53))</x:f>
        <x:v>3.6</x:v>
      </x:c>
      <x:c r="K53" s="10" t="str">
        <x:f>IF(J53="","",IF(J53&lt;2.5,"Developing",IF(J53&lt;3.5,"Moderate","High")))</x:f>
        <x:v>High</x:v>
      </x:c>
      <x:c r="L53" s="10" t="str">
        <x:v>Uses a clear underwater color scheme with a pink seabed, green sea plants, brown rocks, a golden shell, red fish and blue bubbles/wave details. The response is neat and organized with good color contrast, but shows limited extension beyond the provided template.</x:v>
      </x:c>
      <x:c r="M53" s="10" t="str">
        <x:v>Pending</x:v>
      </x:c>
    </x:row>
    <x:row r="54">
      <x:c r="A54" s="10" t="s">
        <x:v>61</x:v>
      </x:c>
      <x:c r="B54" s="10" t="str">
        <x:v>CC01</x:v>
      </x:c>
      <x:c r="C54" s="10" t="str">
        <x:v>S053_CC01</x:v>
      </x:c>
      <x:c r="D54" s="10" t="n">
        <x:v>4</x:v>
      </x:c>
      <x:c r="E54" s="10" t="n">
        <x:v>4</x:v>
      </x:c>
      <x:c r="F54" s="10" t="n">
        <x:v>5</x:v>
      </x:c>
      <x:c r="G54" s="10" t="n">
        <x:v>4</x:v>
      </x:c>
      <x:c r="H54" s="10" t="n">
        <x:v>4</x:v>
      </x:c>
      <x:c r="I54" s="12" t="n">
        <x:f>IF(COUNTA(D54:H54)=0,"",SUM(D54:H54))</x:f>
        <x:v>21</x:v>
      </x:c>
      <x:c r="J54" s="13" t="n">
        <x:f>IF(COUNTA(D54:H54)=0,"",AVERAGE(D54:H54))</x:f>
        <x:v>4.2</x:v>
      </x:c>
      <x:c r="K54" s="10" t="str">
        <x:f>IF(J54="","",IF(J54&lt;2.5,"Developing",IF(J54&lt;3.5,"Moderate","High")))</x:f>
        <x:v>High</x:v>
      </x:c>
      <x:c r="L54" s="10" t="str">
        <x:v>Uses an unusual soft pink water background with yellow-blue fish, orange coral, a pink shell, green plants and a pale starfish. The varied and unconventional palette gives the scene strong color exploration while keeping the elements clearly organized.</x:v>
      </x:c>
      <x:c r="M54" s="10" t="str">
        <x:v>Pending</x:v>
      </x:c>
    </x:row>
    <x:row r="55">
      <x:c r="A55" s="10" t="s">
        <x:v>62</x:v>
      </x:c>
      <x:c r="B55" s="10" t="str">
        <x:v>CC01</x:v>
      </x:c>
      <x:c r="C55" s="10" t="str">
        <x:v>S054_CC01</x:v>
      </x:c>
      <x:c r="D55" s="10" t="n">
        <x:v>4</x:v>
      </x:c>
      <x:c r="E55" s="10" t="n">
        <x:v>4</x:v>
      </x:c>
      <x:c r="F55" s="10" t="n">
        <x:v>5</x:v>
      </x:c>
      <x:c r="G55" s="10" t="n">
        <x:v>4</x:v>
      </x:c>
      <x:c r="H55" s="10" t="n">
        <x:v>4</x:v>
      </x:c>
      <x:c r="I55" s="12" t="n">
        <x:f>IF(COUNTA(D55:H55)=0,"",SUM(D55:H55))</x:f>
        <x:v>21</x:v>
      </x:c>
      <x:c r="J55" s="13" t="n">
        <x:f>IF(COUNTA(D55:H55)=0,"",AVERAGE(D55:H55))</x:f>
        <x:v>4.2</x:v>
      </x:c>
      <x:c r="K55" s="10" t="str">
        <x:f>IF(J55="","",IF(J55&lt;2.5,"Developing",IF(J55&lt;3.5,"Moderate","High")))</x:f>
        <x:v>High</x:v>
      </x:c>
      <x:c r="L55" s="10" t="str">
        <x:v>Uses a distinctive underwater palette with a pink water background, gray seabed, green shell, purple-orange fish, orange fish, purple starfish, brown coral and green wave details. The strong color variation creates a visually original and well-organized response.</x:v>
      </x:c>
      <x:c r="M55" s="10" t="str">
        <x:v>Pending</x:v>
      </x:c>
    </x:row>
    <x:row r="56">
      <x:c r="A56" s="10" t="s">
        <x:v>63</x:v>
      </x:c>
      <x:c r="B56" s="10" t="str">
        <x:v>CC01</x:v>
      </x:c>
      <x:c r="C56" s="10" t="str">
        <x:v>S055_CC01</x:v>
      </x:c>
      <x:c r="D56" s="10" t="n">
        <x:v>4</x:v>
      </x:c>
      <x:c r="E56" s="10" t="n">
        <x:v>4</x:v>
      </x:c>
      <x:c r="F56" s="10" t="n">
        <x:v>4</x:v>
      </x:c>
      <x:c r="G56" s="10" t="n">
        <x:v>4</x:v>
      </x:c>
      <x:c r="H56" s="10" t="n">
        <x:v>4</x:v>
      </x:c>
      <x:c r="I56" s="12" t="n">
        <x:f>IF(COUNTA(D56:H56)=0,"",SUM(D56:H56))</x:f>
        <x:v>20</x:v>
      </x:c>
      <x:c r="J56" s="13" t="n">
        <x:f>IF(COUNTA(D56:H56)=0,"",AVERAGE(D56:H56))</x:f>
        <x:v>4</x:v>
      </x:c>
      <x:c r="K56" s="10" t="str">
        <x:f>IF(J56="","",IF(J56&lt;2.5,"Developing",IF(J56&lt;3.5,"Moderate","High")))</x:f>
        <x:v>High</x:v>
      </x:c>
      <x:c r="L56" s="10" t="str">
        <x:v>Uses broad full-scene coloring in the rainbow landscape with a green background, dark path, orange horizon, blue clouds, green tree and a multicolored rainbow. The extensive page coverage and contrast make the response visually strong and well organized.</x:v>
      </x:c>
      <x:c r="M56" s="10" t="str">
        <x:v>Pending</x:v>
      </x:c>
    </x:row>
    <x:row r="57">
      <x:c r="A57" s="10" t="s">
        <x:v>64</x:v>
      </x:c>
      <x:c r="B57" s="10" t="str">
        <x:v>CC01</x:v>
      </x:c>
      <x:c r="C57" s="10" t="str">
        <x:v>S056_CC01</x:v>
      </x:c>
      <x:c r="D57" s="10" t="n">
        <x:v>4</x:v>
      </x:c>
      <x:c r="E57" s="10" t="n">
        <x:v>4</x:v>
      </x:c>
      <x:c r="F57" s="10" t="n">
        <x:v>5</x:v>
      </x:c>
      <x:c r="G57" s="10" t="n">
        <x:v>4</x:v>
      </x:c>
      <x:c r="H57" s="10" t="n">
        <x:v>4</x:v>
      </x:c>
      <x:c r="I57" s="12" t="n">
        <x:f>IF(COUNTA(D57:H57)=0,"",SUM(D57:H57))</x:f>
        <x:v>21</x:v>
      </x:c>
      <x:c r="J57" s="13" t="n">
        <x:f>IF(COUNTA(D57:H57)=0,"",AVERAGE(D57:H57))</x:f>
        <x:v>4.2</x:v>
      </x:c>
      <x:c r="K57" s="10" t="str">
        <x:f>IF(J57="","",IF(J57&lt;2.5,"Developing",IF(J57&lt;3.5,"Moderate","High")))</x:f>
        <x:v>High</x:v>
      </x:c>
      <x:c r="L57" s="10" t="str">
        <x:v>Uses strong full-scene underwater coloring with bright blue water, brown seabed, yellow shell, orange starfish, green plants and multicolored fish. The varied palette, strong coverage and clear separation of elements show good color exploration and organization.</x:v>
      </x:c>
      <x:c r="M57" s="10" t="str">
        <x:v>Pending</x:v>
      </x:c>
    </x:row>
    <x:row r="58">
      <x:c r="A58" s="10" t="s">
        <x:v>65</x:v>
      </x:c>
      <x:c r="B58" s="10" t="str">
        <x:v>CC01</x:v>
      </x:c>
      <x:c r="C58" s="10" t="str">
        <x:v>S057_CC01</x:v>
      </x:c>
      <x:c r="D58" s="10" t="n">
        <x:v>4</x:v>
      </x:c>
      <x:c r="E58" s="10" t="n">
        <x:v>4</x:v>
      </x:c>
      <x:c r="F58" s="10" t="n">
        <x:v>5</x:v>
      </x:c>
      <x:c r="G58" s="10" t="n">
        <x:v>4</x:v>
      </x:c>
      <x:c r="H58" s="10" t="n">
        <x:v>4</x:v>
      </x:c>
      <x:c r="I58" s="12" t="n">
        <x:f>IF(COUNTA(D58:H58)=0,"",SUM(D58:H58))</x:f>
        <x:v>21</x:v>
      </x:c>
      <x:c r="J58" s="13" t="n">
        <x:f>IF(COUNTA(D58:H58)=0,"",AVERAGE(D58:H58))</x:f>
        <x:v>4.2</x:v>
      </x:c>
      <x:c r="K58" s="10" t="str">
        <x:f>IF(J58="","",IF(J58&lt;2.5,"Developing",IF(J58&lt;3.5,"Moderate","High")))</x:f>
        <x:v>High</x:v>
      </x:c>
      <x:c r="L58" s="10" t="str">
        <x:v>Uses a rich underwater palette with deep blue water, light seabed, brown shell, orange fish, brown-red starfish, golden coral and green/aqua plants. The response is visually distinctive, well covered and clearly organized with strong color exploration.</x:v>
      </x:c>
      <x:c r="M58" s="10" t="str">
        <x:v>Pending</x:v>
      </x:c>
    </x:row>
    <x:row r="59">
      <x:c r="A59" s="10" t="s">
        <x:v>66</x:v>
      </x:c>
      <x:c r="B59" s="10" t="str">
        <x:v>CC01</x:v>
      </x:c>
      <x:c r="C59" s="10" t="str">
        <x:v>S058_CC01</x:v>
      </x:c>
      <x:c r="D59" s="10" t="n">
        <x:v>3</x:v>
      </x:c>
      <x:c r="E59" s="10" t="n">
        <x:v>3</x:v>
      </x:c>
      <x:c r="F59" s="10" t="n">
        <x:v>3</x:v>
      </x:c>
      <x:c r="G59" s="10" t="n">
        <x:v>4</x:v>
      </x:c>
      <x:c r="H59" s="10" t="n">
        <x:v>4</x:v>
      </x:c>
      <x:c r="I59" s="12" t="n">
        <x:f>IF(COUNTA(D59:H59)=0,"",SUM(D59:H59))</x:f>
        <x:v>17</x:v>
      </x:c>
      <x:c r="J59" s="13" t="n">
        <x:f>IF(COUNTA(D59:H59)=0,"",AVERAGE(D59:H59))</x:f>
        <x:v>3.4</x:v>
      </x:c>
      <x:c r="K59" s="10" t="str">
        <x:f>IF(J59="","",IF(J59&lt;2.5,"Developing",IF(J59&lt;3.5,"Moderate","High")))</x:f>
        <x:v>Moderate</x:v>
      </x:c>
      <x:c r="L59" s="10" t="str">
        <x:v>Uses a soft underwater palette with light blue water, green plants, brown seabed, blue-pink shell, pale fish colors and a light blue starfish. The response is neat and well organized, with moderate color exploration and limited extension beyond the provided template.</x:v>
      </x:c>
      <x:c r="M59" s="10" t="str">
        <x:v>Pending</x:v>
      </x:c>
    </x:row>
    <x:row r="60">
      <x:c r="A60" s="10" t="s">
        <x:v>67</x:v>
      </x:c>
      <x:c r="B60" s="10" t="str">
        <x:v>CC01</x:v>
      </x:c>
      <x:c r="C60" s="10" t="str">
        <x:v>S059_CC01</x:v>
      </x:c>
      <x:c r="D60" s="10" t="n">
        <x:v>3</x:v>
      </x:c>
      <x:c r="E60" s="10" t="n">
        <x:v>3</x:v>
      </x:c>
      <x:c r="F60" s="10" t="n">
        <x:v>3</x:v>
      </x:c>
      <x:c r="G60" s="10" t="n">
        <x:v>3</x:v>
      </x:c>
      <x:c r="H60" s="10" t="n">
        <x:v>4</x:v>
      </x:c>
      <x:c r="I60" s="12" t="n">
        <x:f>IF(COUNTA(D60:H60)=0,"",SUM(D60:H60))</x:f>
        <x:v>16</x:v>
      </x:c>
      <x:c r="J60" s="13" t="n">
        <x:f>IF(COUNTA(D60:H60)=0,"",AVERAGE(D60:H60))</x:f>
        <x:v>3.2</x:v>
      </x:c>
      <x:c r="K60" s="10" t="str">
        <x:f>IF(J60="","",IF(J60&lt;2.5,"Developing",IF(J60&lt;3.5,"Moderate","High")))</x:f>
        <x:v>Moderate</x:v>
      </x:c>
      <x:c r="L60" s="10" t="str">
        <x:v>Uses a simple rainbow landscape palette with a red sun, purple clouds, green vegetation, brown tree and a mostly red rainbow. The scene is understandable and organized, but color variety and elaboration are limited compared with stronger responses.</x:v>
      </x:c>
      <x:c r="M60" s="10" t="str">
        <x:v>Pending</x:v>
      </x:c>
    </x:row>
    <x:row r="61">
      <x:c r="A61" s="10" t="s">
        <x:v>68</x:v>
      </x:c>
      <x:c r="B61" s="10" t="str">
        <x:v>CC01</x:v>
      </x:c>
      <x:c r="C61" s="10" t="str">
        <x:v>S060_CC01</x:v>
      </x:c>
      <x:c r="D61" s="10" t="n">
        <x:v>4</x:v>
      </x:c>
      <x:c r="E61" s="10" t="n">
        <x:v>4</x:v>
      </x:c>
      <x:c r="F61" s="10" t="n">
        <x:v>5</x:v>
      </x:c>
      <x:c r="G61" s="10" t="n">
        <x:v>4</x:v>
      </x:c>
      <x:c r="H61" s="10" t="n">
        <x:v>4</x:v>
      </x:c>
      <x:c r="I61" s="12" t="n">
        <x:f>IF(COUNTA(D61:H61)=0,"",SUM(D61:H61))</x:f>
        <x:v>21</x:v>
      </x:c>
      <x:c r="J61" s="13" t="n">
        <x:f>IF(COUNTA(D61:H61)=0,"",AVERAGE(D61:H61))</x:f>
        <x:v>4.2</x:v>
      </x:c>
      <x:c r="K61" s="10" t="str">
        <x:f>IF(J61="","",IF(J61&lt;2.5,"Developing",IF(J61&lt;3.5,"Moderate","High")))</x:f>
        <x:v>High</x:v>
      </x:c>
      <x:c r="L61" s="10" t="str">
        <x:v>Uses a vivid underwater palette with deep blue water, yellow seabed, pink shell, red-orange coral, multicolored fish and dark green sea plants. Strong contrast and broad color coverage create a visually distinctive and organized response.</x:v>
      </x:c>
      <x:c r="M61" s="10" t="str">
        <x:v>Pending</x:v>
      </x:c>
    </x:row>
    <x:row r="62">
      <x:c r="A62" s="10" t="s">
        <x:v>69</x:v>
      </x:c>
      <x:c r="B62" s="10" t="str">
        <x:v>CC01</x:v>
      </x:c>
      <x:c r="C62" s="10" t="str">
        <x:v>S061_CC01</x:v>
      </x:c>
      <x:c r="D62" s="10" t="n">
        <x:v>4</x:v>
      </x:c>
      <x:c r="E62" s="10" t="n">
        <x:v>4</x:v>
      </x:c>
      <x:c r="F62" s="10" t="n">
        <x:v>4</x:v>
      </x:c>
      <x:c r="G62" s="10" t="n">
        <x:v>4</x:v>
      </x:c>
      <x:c r="H62" s="10" t="n">
        <x:v>4</x:v>
      </x:c>
      <x:c r="I62" s="12" t="n">
        <x:f>IF(COUNTA(D62:H62)=0,"",SUM(D62:H62))</x:f>
        <x:v>20</x:v>
      </x:c>
      <x:c r="J62" s="13" t="n">
        <x:f>IF(COUNTA(D62:H62)=0,"",AVERAGE(D62:H62))</x:f>
        <x:v>4</x:v>
      </x:c>
      <x:c r="K62" s="10" t="str">
        <x:f>IF(J62="","",IF(J62&lt;2.5,"Developing",IF(J62&lt;3.5,"Moderate","High")))</x:f>
        <x:v>High</x:v>
      </x:c>
      <x:c r="L62" s="10" t="str">
        <x:v>Uses broad color coverage in the rainbow landscape with green ground, black path, orange sun, blue clouds and a multicolored rainbow. The response is balanced and well organized, with good elaboration and color use.</x:v>
      </x:c>
      <x:c r="M62" s="10" t="str">
        <x:v>Pending</x:v>
      </x:c>
    </x:row>
    <x:row r="63">
      <x:c r="A63" s="10" t="s">
        <x:v>70</x:v>
      </x:c>
      <x:c r="B63" s="10" t="str">
        <x:v>CC01</x:v>
      </x:c>
      <x:c r="C63" s="10" t="str">
        <x:v>S062_CC01</x:v>
      </x:c>
      <x:c r="D63" s="10" t="n">
        <x:v>2</x:v>
      </x:c>
      <x:c r="E63" s="10" t="n">
        <x:v>3</x:v>
      </x:c>
      <x:c r="F63" s="10" t="n">
        <x:v>3</x:v>
      </x:c>
      <x:c r="G63" s="10" t="n">
        <x:v>3</x:v>
      </x:c>
      <x:c r="H63" s="10" t="n">
        <x:v>3</x:v>
      </x:c>
      <x:c r="I63" s="12" t="n">
        <x:f>IF(COUNTA(D63:H63)=0,"",SUM(D63:H63))</x:f>
        <x:v>14</x:v>
      </x:c>
      <x:c r="J63" s="13" t="n">
        <x:f>IF(COUNTA(D63:H63)=0,"",AVERAGE(D63:H63))</x:f>
        <x:v>2.8</x:v>
      </x:c>
      <x:c r="K63" s="10" t="str">
        <x:f>IF(J63="","",IF(J63&lt;2.5,"Developing",IF(J63&lt;3.5,"Moderate","High")))</x:f>
        <x:v>Moderate</x:v>
      </x:c>
      <x:c r="L63" s="10" t="str">
        <x:v>Uses a partial rainbow landscape palette with an orange sun, green vegetation, brown path, purple flowers and a partly colored rainbow. Several cloud and background areas remain uncolored, so the response shows limited elaboration and color exploration.</x:v>
      </x:c>
      <x:c r="M63" s="10" t="str">
        <x:v>Pending</x:v>
      </x:c>
    </x:row>
    <x:row r="64">
      <x:c r="A64" s="10" t="s">
        <x:v>71</x:v>
      </x:c>
      <x:c r="B64" s="10" t="str">
        <x:v>CC01</x:v>
      </x:c>
      <x:c r="C64" s="10" t="str">
        <x:v>S063_CC01</x:v>
      </x:c>
      <x:c r="D64" s="10" t="n">
        <x:v>3</x:v>
      </x:c>
      <x:c r="E64" s="10" t="n">
        <x:v>3</x:v>
      </x:c>
      <x:c r="F64" s="10" t="n">
        <x:v>4</x:v>
      </x:c>
      <x:c r="G64" s="10" t="n">
        <x:v>3</x:v>
      </x:c>
      <x:c r="H64" s="10" t="n">
        <x:v>4</x:v>
      </x:c>
      <x:c r="I64" s="12" t="n">
        <x:f>IF(COUNTA(D64:H64)=0,"",SUM(D64:H64))</x:f>
        <x:v>17</x:v>
      </x:c>
      <x:c r="J64" s="13" t="n">
        <x:f>IF(COUNTA(D64:H64)=0,"",AVERAGE(D64:H64))</x:f>
        <x:v>3.4</x:v>
      </x:c>
      <x:c r="K64" s="10" t="str">
        <x:f>IF(J64="","",IF(J64&lt;2.5,"Developing",IF(J64&lt;3.5,"Moderate","High")))</x:f>
        <x:v>Moderate</x:v>
      </x:c>
      <x:c r="L64" s="10" t="str">
        <x:v>Uses a simple rainbow landscape with an orange sun, brown tree and path, green vegetation, pink-red flowers and a partly colored rainbow. The picture remains clear and organized, but several sky and cloud areas are left uncolored and overall elaboration is moderate.</x:v>
      </x:c>
      <x:c r="M64" s="10" t="str">
        <x:v>Pending</x:v>
      </x:c>
    </x:row>
    <x:row r="65">
      <x:c r="A65" s="10" t="s">
        <x:v>72</x:v>
      </x:c>
      <x:c r="B65" s="10" t="str">
        <x:v>CC01</x:v>
      </x:c>
      <x:c r="C65" s="10" t="str">
        <x:v>S064_CC01</x:v>
      </x:c>
      <x:c r="D65" s="10" t="n">
        <x:v>3</x:v>
      </x:c>
      <x:c r="E65" s="10" t="n">
        <x:v>4</x:v>
      </x:c>
      <x:c r="F65" s="10" t="n">
        <x:v>4</x:v>
      </x:c>
      <x:c r="G65" s="10" t="n">
        <x:v>4</x:v>
      </x:c>
      <x:c r="H65" s="10" t="n">
        <x:v>4</x:v>
      </x:c>
      <x:c r="I65" s="12" t="n">
        <x:f>IF(COUNTA(D65:H65)=0,"",SUM(D65:H65))</x:f>
        <x:v>19</x:v>
      </x:c>
      <x:c r="J65" s="13" t="n">
        <x:f>IF(COUNTA(D65:H65)=0,"",AVERAGE(D65:H65))</x:f>
        <x:v>3.8</x:v>
      </x:c>
      <x:c r="K65" s="10" t="str">
        <x:f>IF(J65="","",IF(J65&lt;2.5,"Developing",IF(J65&lt;3.5,"Moderate","High")))</x:f>
        <x:v>High</x:v>
      </x:c>
      <x:c r="L65" s="10" t="str">
        <x:v>Uses a strong rainbow landscape palette with a yellow sun, blue clouds, green vegetation, brown tree and a dark path, together with a multicolored rainbow. The response is clearly organized with good color contrast and detail, though much of the background remains uncolored.</x:v>
      </x:c>
      <x:c r="M65" s="10" t="str">
        <x:v>Pending</x:v>
      </x:c>
    </x:row>
    <x:row r="66">
      <x:c r="A66" s="10" t="s">
        <x:v>73</x:v>
      </x:c>
      <x:c r="B66" s="10" t="str">
        <x:v>CC01</x:v>
      </x:c>
      <x:c r="C66" s="10" t="str">
        <x:v>S065_CC01</x:v>
      </x:c>
      <x:c r="D66" s="10" t="n">
        <x:v>3</x:v>
      </x:c>
      <x:c r="E66" s="10" t="n">
        <x:v>3</x:v>
      </x:c>
      <x:c r="F66" s="10" t="n">
        <x:v>3</x:v>
      </x:c>
      <x:c r="G66" s="10" t="n">
        <x:v>3</x:v>
      </x:c>
      <x:c r="H66" s="10" t="n">
        <x:v>4</x:v>
      </x:c>
      <x:c r="I66" s="12" t="n">
        <x:f>IF(COUNTA(D66:H66)=0,"",SUM(D66:H66))</x:f>
        <x:v>16</x:v>
      </x:c>
      <x:c r="J66" s="13" t="n">
        <x:f>IF(COUNTA(D66:H66)=0,"",AVERAGE(D66:H66))</x:f>
        <x:v>3.2</x:v>
      </x:c>
      <x:c r="K66" s="10" t="str">
        <x:f>IF(J66="","",IF(J66&lt;2.5,"Developing",IF(J66&lt;3.5,"Moderate","High")))</x:f>
        <x:v>Moderate</x:v>
      </x:c>
      <x:c r="L66" s="10" t="str">
        <x:v>Uses a simple underwater palette with a bright yellow seabed, green sea plants, brown rocks, a black shell, pink starfish and lightly colored fish. The scene is understandable and organized, but the water area and several objects remain only partly colored.</x:v>
      </x:c>
      <x:c r="M66" s="10" t="str">
        <x:v>Pending</x:v>
      </x:c>
    </x:row>
    <x:row r="67">
      <x:c r="A67" s="10" t="s">
        <x:v>74</x:v>
      </x:c>
      <x:c r="B67" s="10" t="str">
        <x:v>CC01</x:v>
      </x:c>
      <x:c r="C67" s="10" t="str">
        <x:v>S066_CC01</x:v>
      </x:c>
      <x:c r="D67" s="10" t="n">
        <x:v>3</x:v>
      </x:c>
      <x:c r="E67" s="10" t="n">
        <x:v>2</x:v>
      </x:c>
      <x:c r="F67" s="10" t="n">
        <x:v>3</x:v>
      </x:c>
      <x:c r="G67" s="10" t="n">
        <x:v>2</x:v>
      </x:c>
      <x:c r="H67" s="10" t="n">
        <x:v>3</x:v>
      </x:c>
      <x:c r="I67" s="12" t="n">
        <x:f>IF(COUNTA(D67:H67)=0,"",SUM(D67:H67))</x:f>
        <x:v>13</x:v>
      </x:c>
      <x:c r="J67" s="13" t="n">
        <x:f>IF(COUNTA(D67:H67)=0,"",AVERAGE(D67:H67))</x:f>
        <x:v>2.6</x:v>
      </x:c>
      <x:c r="K67" s="10" t="str">
        <x:f>IF(J67="","",IF(J67&lt;2.5,"Developing",IF(J67&lt;3.5,"Moderate","High")))</x:f>
        <x:v>Moderate</x:v>
      </x:c>
      <x:c r="L67" s="10" t="str">
        <x:v>Uses a limited and partly completed rainbow landscape with green vegetation, red-green sun, red-green rainbow bands and some purple marks. Several areas remain unfinished and the coloring is less consistent, resulting in lower elaboration and detail.</x:v>
      </x:c>
      <x:c r="M67" s="10" t="str">
        <x:v>Pending</x:v>
      </x:c>
    </x:row>
    <x:row r="68">
      <x:c r="A68" s="10" t="s">
        <x:v>75</x:v>
      </x:c>
      <x:c r="B68" s="10" t="str">
        <x:v>CC01</x:v>
      </x:c>
      <x:c r="C68" s="10" t="str">
        <x:v>S067_CC01</x:v>
      </x:c>
      <x:c r="D68" s="10" t="n">
        <x:v>3</x:v>
      </x:c>
      <x:c r="E68" s="10" t="n">
        <x:v>3</x:v>
      </x:c>
      <x:c r="F68" s="10" t="n">
        <x:v>4</x:v>
      </x:c>
      <x:c r="G68" s="10" t="n">
        <x:v>4</x:v>
      </x:c>
      <x:c r="H68" s="10" t="n">
        <x:v>4</x:v>
      </x:c>
      <x:c r="I68" s="12" t="n">
        <x:f>IF(COUNTA(D68:H68)=0,"",SUM(D68:H68))</x:f>
        <x:v>18</x:v>
      </x:c>
      <x:c r="J68" s="13" t="n">
        <x:f>IF(COUNTA(D68:H68)=0,"",AVERAGE(D68:H68))</x:f>
        <x:v>3.6</x:v>
      </x:c>
      <x:c r="K68" s="10" t="str">
        <x:f>IF(J68="","",IF(J68&lt;2.5,"Developing",IF(J68&lt;3.5,"Moderate","High")))</x:f>
        <x:v>High</x:v>
      </x:c>
      <x:c r="L68" s="10" t="str">
        <x:v>Uses a balanced rainbow landscape palette with a yellow sun, blue clouds, green vegetation, brown tree and path, and a multicolored rainbow. The response is neat and well organized with good color variety, but contains few additions beyond the provided template.</x:v>
      </x:c>
      <x:c r="M68" s="10" t="str">
        <x:v>Pending</x:v>
      </x:c>
    </x:row>
    <x:row r="69">
      <x:c r="A69" s="10" t="s">
        <x:v>76</x:v>
      </x:c>
      <x:c r="B69" s="10" t="str">
        <x:v>CC01</x:v>
      </x:c>
      <x:c r="C69" s="10" t="str">
        <x:v>S068_CC01</x:v>
      </x:c>
      <x:c r="D69" s="10" t="n">
        <x:v>3</x:v>
      </x:c>
      <x:c r="E69" s="10" t="n">
        <x:v>4</x:v>
      </x:c>
      <x:c r="F69" s="10" t="n">
        <x:v>4</x:v>
      </x:c>
      <x:c r="G69" s="10" t="n">
        <x:v>4</x:v>
      </x:c>
      <x:c r="H69" s="10" t="n">
        <x:v>4</x:v>
      </x:c>
      <x:c r="I69" s="12" t="n">
        <x:f>IF(COUNTA(D69:H69)=0,"",SUM(D69:H69))</x:f>
        <x:v>19</x:v>
      </x:c>
      <x:c r="J69" s="13" t="n">
        <x:f>IF(COUNTA(D69:H69)=0,"",AVERAGE(D69:H69))</x:f>
        <x:v>3.8</x:v>
      </x:c>
      <x:c r="K69" s="10" t="str">
        <x:f>IF(J69="","",IF(J69&lt;2.5,"Developing",IF(J69&lt;3.5,"Moderate","High")))</x:f>
        <x:v>High</x:v>
      </x:c>
      <x:c r="L69" s="10" t="str">
        <x:v>Uses a distinctive house-scene palette with a pink house, yellow roof and fence, red door, green tree, blue clouds, black shrubs and a pink path. The strong contrast and clear completion of scene elements show good elaboration and visual organization.</x:v>
      </x:c>
      <x:c r="M69" s="10" t="str">
        <x:v>Pending</x:v>
      </x:c>
    </x:row>
    <x:row r="70">
      <x:c r="A70" s="10" t="s">
        <x:v>77</x:v>
      </x:c>
      <x:c r="B70" s="10" t="str">
        <x:v>CC01</x:v>
      </x:c>
      <x:c r="C70" s="10" t="str">
        <x:v>S069_CC01</x:v>
      </x:c>
      <x:c r="D70" s="10" t="n">
        <x:v>4</x:v>
      </x:c>
      <x:c r="E70" s="10" t="n">
        <x:v>4</x:v>
      </x:c>
      <x:c r="F70" s="10" t="n">
        <x:v>4</x:v>
      </x:c>
      <x:c r="G70" s="10" t="n">
        <x:v>4</x:v>
      </x:c>
      <x:c r="H70" s="10" t="n">
        <x:v>4</x:v>
      </x:c>
      <x:c r="I70" s="12" t="n">
        <x:f>IF(COUNTA(D70:H70)=0,"",SUM(D70:H70))</x:f>
        <x:v>20</x:v>
      </x:c>
      <x:c r="J70" s="13" t="n">
        <x:f>IF(COUNTA(D70:H70)=0,"",AVERAGE(D70:H70))</x:f>
        <x:v>4</x:v>
      </x:c>
      <x:c r="K70" s="10" t="str">
        <x:f>IF(J70="","",IF(J70&lt;2.5,"Developing",IF(J70&lt;3.5,"Moderate","High")))</x:f>
        <x:v>High</x:v>
      </x:c>
      <x:c r="L70" s="10" t="str">
        <x:v>Uses a rainbow landscape with an orange sun, blue and white clouds, green vegetation, brown tree and path, and predominantly pink rainbow bands. The added facial marks on the sun and varied flower colors provide extra individuality while the scene remains clearly organized.</x:v>
      </x:c>
      <x:c r="M70" s="10" t="str">
        <x:v>Pending</x:v>
      </x:c>
    </x:row>
    <x:row r="71">
      <x:c r="A71" s="10" t="str">
        <x:v>S070</x:v>
      </x:c>
      <x:c r="B71" s="10" t="str">
        <x:v>CC01</x:v>
      </x:c>
      <x:c r="C71" s="10" t="str">
        <x:v>S070_CC01</x:v>
      </x:c>
      <x:c r="D71" s="10" t="n">
        <x:v>3</x:v>
      </x:c>
      <x:c r="E71" s="10" t="n">
        <x:v>2</x:v>
      </x:c>
      <x:c r="F71" s="10" t="n">
        <x:v>3</x:v>
      </x:c>
      <x:c r="G71" s="10" t="n">
        <x:v>3</x:v>
      </x:c>
      <x:c r="H71" s="10" t="n">
        <x:v>3</x:v>
      </x:c>
      <x:c r="I71" s="12" t="n">
        <x:f>IF(COUNTA(D71:H71)=0,"",SUM(D71:H71))</x:f>
        <x:v>14</x:v>
      </x:c>
      <x:c r="J71" s="13" t="n">
        <x:f>IF(COUNTA(D71:H71)=0,"",AVERAGE(D71:H71))</x:f>
        <x:v>2.8</x:v>
      </x:c>
      <x:c r="K71" s="10" t="str">
        <x:f>IF(J71="","",IF(J71&lt;2.5,"Developing",IF(J71&lt;3.5,"Moderate","High")))</x:f>
        <x:v>Moderate</x:v>
      </x:c>
      <x:c r="L71" s="10" t="str">
        <x:v>Uses a partly completed rainbow landscape with a yellow sun, blue clouds, green vegetation, brown tree, pink flowers and some blue ground coloring. The multicolored sun rays add some individuality, but the rainbow, clouds and several background areas remain uncolored, so elaboration is limited.</x:v>
      </x:c>
      <x:c r="M71" s="10" t="str">
        <x:v>Pending</x:v>
      </x:c>
    </x:row>
    <x:row r="72">
      <x:c r="A72" s="10" t="str">
        <x:v>S071</x:v>
      </x:c>
      <x:c r="B72" s="10" t="str">
        <x:v>CC01</x:v>
      </x:c>
      <x:c r="C72" s="10" t="str">
        <x:v>S071_CC01</x:v>
      </x:c>
      <x:c r="D72" s="10" t="n">
        <x:v>3</x:v>
      </x:c>
      <x:c r="E72" s="10" t="n">
        <x:v>4</x:v>
      </x:c>
      <x:c r="F72" s="10" t="n">
        <x:v>4</x:v>
      </x:c>
      <x:c r="G72" s="10" t="n">
        <x:v>4</x:v>
      </x:c>
      <x:c r="H72" s="10" t="n">
        <x:v>4</x:v>
      </x:c>
      <x:c r="I72" s="12" t="n">
        <x:f>IF(COUNTA(D72:H72)=0,"",SUM(D72:H72))</x:f>
        <x:v>19</x:v>
      </x:c>
      <x:c r="J72" s="13" t="n">
        <x:f>IF(COUNTA(D72:H72)=0,"",AVERAGE(D72:H72))</x:f>
        <x:v>3.8</x:v>
      </x:c>
      <x:c r="K72" s="10" t="str">
        <x:f>IF(J72="","",IF(J72&lt;2.5,"Developing",IF(J72&lt;3.5,"Moderate","High")))</x:f>
        <x:v>High</x:v>
      </x:c>
      <x:c r="L72" s="10" t="str">
        <x:v>Uses a well-developed rainbow landscape palette with a yellow sun, blue clouds, green vegetation, brown tree, orange path, pink background band and a multicolored rainbow. The response has good page coverage, clear organization and strong color variety.</x:v>
      </x:c>
      <x:c r="M72" s="10" t="str">
        <x:v>Pending</x:v>
      </x:c>
    </x:row>
    <x:row r="73">
      <x:c r="A73" s="10" t="str">
        <x:v>S072</x:v>
      </x:c>
      <x:c r="B73" s="10" t="str">
        <x:v>CC01</x:v>
      </x:c>
      <x:c r="C73" s="10" t="str">
        <x:v>S072_CC01</x:v>
      </x:c>
      <x:c r="D73" s="10" t="n">
        <x:v>3</x:v>
      </x:c>
      <x:c r="E73" s="10" t="n">
        <x:v>3</x:v>
      </x:c>
      <x:c r="F73" s="10" t="n">
        <x:v>4</x:v>
      </x:c>
      <x:c r="G73" s="10" t="n">
        <x:v>3</x:v>
      </x:c>
      <x:c r="H73" s="10" t="n">
        <x:v>4</x:v>
      </x:c>
      <x:c r="I73" s="12" t="n">
        <x:f>IF(COUNTA(D73:H73)=0,"",SUM(D73:H73))</x:f>
        <x:v>17</x:v>
      </x:c>
      <x:c r="J73" s="13" t="n">
        <x:f>IF(COUNTA(D73:H73)=0,"",AVERAGE(D73:H73))</x:f>
        <x:v>3.4</x:v>
      </x:c>
      <x:c r="K73" s="10" t="str">
        <x:f>IF(J73="","",IF(J73&lt;2.5,"Developing",IF(J73&lt;3.5,"Moderate","High")))</x:f>
        <x:v>Moderate</x:v>
      </x:c>
      <x:c r="L73" s="10" t="str">
        <x:v>Rainbow landscape uses a good range of colors with clear separation of major objects. Some areas such as parts of the rainbow/clouds/background remain uncolored, so elaboration and completion are moderate.</x:v>
      </x:c>
      <x:c r="M73" s="10" t="str">
        <x:v>Pending</x:v>
      </x:c>
    </x:row>
    <x:row r="74">
      <x:c r="A74" s="10" t="str">
        <x:v>S073</x:v>
      </x:c>
      <x:c r="B74" s="10" t="str">
        <x:v>CC01</x:v>
      </x:c>
      <x:c r="C74" s="10" t="str">
        <x:v>S073_CC01</x:v>
      </x:c>
      <x:c r="D74" s="10" t="n">
        <x:v>4</x:v>
      </x:c>
      <x:c r="E74" s="10" t="n">
        <x:v>4</x:v>
      </x:c>
      <x:c r="F74" s="10" t="n">
        <x:v>4</x:v>
      </x:c>
      <x:c r="G74" s="10" t="n">
        <x:v>4</x:v>
      </x:c>
      <x:c r="H74" s="10" t="n">
        <x:v>4</x:v>
      </x:c>
      <x:c r="I74" s="12" t="n">
        <x:f>IF(COUNTA(D74:H74)=0,"",SUM(D74:H74))</x:f>
        <x:v>20</x:v>
      </x:c>
      <x:c r="J74" s="13" t="n">
        <x:f>IF(COUNTA(D74:H74)=0,"",AVERAGE(D74:H74))</x:f>
        <x:v>4</x:v>
      </x:c>
      <x:c r="K74" s="10" t="str">
        <x:f>IF(J74="","",IF(J74&lt;2.5,"Developing",IF(J74&lt;3.5,"Moderate","High")))</x:f>
        <x:v>High</x:v>
      </x:c>
      <x:c r="L74" s="10" t="str">
        <x:v>Highly colorful house scene with strong contrast, broad coverage, varied object colors and a clearly organized composition. The unusual purple house and mixed palette show strong color exploration.</x:v>
      </x:c>
      <x:c r="M74" s="10" t="str">
        <x:v>Pending</x:v>
      </x:c>
    </x:row>
    <x:row r="75">
      <x:c r="A75" s="10" t="str">
        <x:v>S074</x:v>
      </x:c>
      <x:c r="B75" s="10" t="str">
        <x:v>CC01</x:v>
      </x:c>
      <x:c r="C75" s="10" t="str">
        <x:v>S074_CC01</x:v>
      </x:c>
      <x:c r="D75" s="10" t="n">
        <x:v>4</x:v>
      </x:c>
      <x:c r="E75" s="10" t="n">
        <x:v>3</x:v>
      </x:c>
      <x:c r="F75" s="10" t="n">
        <x:v>4</x:v>
      </x:c>
      <x:c r="G75" s="10" t="n">
        <x:v>4</x:v>
      </x:c>
      <x:c r="H75" s="10" t="n">
        <x:v>4</x:v>
      </x:c>
      <x:c r="I75" s="12" t="n">
        <x:f>IF(COUNTA(D75:H75)=0,"",SUM(D75:H75))</x:f>
        <x:v>19</x:v>
      </x:c>
      <x:c r="J75" s="13" t="n">
        <x:f>IF(COUNTA(D75:H75)=0,"",AVERAGE(D75:H75))</x:f>
        <x:v>3.8</x:v>
      </x:c>
      <x:c r="K75" s="10" t="str">
        <x:f>IF(J75="","",IF(J75&lt;2.5,"Developing",IF(J75&lt;3.5,"Moderate","High")))</x:f>
        <x:v>High</x:v>
      </x:c>
      <x:c r="L75" s="10" t="str">
        <x:v>Rainbow landscape shows varied colors and added facial expressions/details on the sun and clouds, giving the response more individuality. Several areas remain partly uncolored, so elaboration is slightly lower.</x:v>
      </x:c>
      <x:c r="M75" s="10" t="str">
        <x:v>Pending</x:v>
      </x:c>
    </x:row>
    <x:row r="76">
      <x:c r="A76" s="10" t="str">
        <x:v>S075</x:v>
      </x:c>
      <x:c r="B76" s="10" t="str">
        <x:v>CC01</x:v>
      </x:c>
      <x:c r="C76" s="10" t="str">
        <x:v>S075_CC01</x:v>
      </x:c>
      <x:c r="D76" s="10" t="n">
        <x:v>2</x:v>
      </x:c>
      <x:c r="E76" s="10" t="n">
        <x:v>2</x:v>
      </x:c>
      <x:c r="F76" s="10" t="n">
        <x:v>2</x:v>
      </x:c>
      <x:c r="G76" s="10" t="n">
        <x:v>2</x:v>
      </x:c>
      <x:c r="H76" s="10" t="n">
        <x:v>3</x:v>
      </x:c>
      <x:c r="I76" s="12" t="n">
        <x:f>IF(COUNTA(D76:H76)=0,"",SUM(D76:H76))</x:f>
        <x:v>11</x:v>
      </x:c>
      <x:c r="J76" s="13" t="n">
        <x:f>IF(COUNTA(D76:H76)=0,"",AVERAGE(D76:H76))</x:f>
        <x:v>2.2</x:v>
      </x:c>
      <x:c r="K76" s="10" t="str">
        <x:f>IF(J76="","",IF(J76&lt;2.5,"Developing",IF(J76&lt;3.5,"Moderate","High")))</x:f>
        <x:v>Developing</x:v>
      </x:c>
      <x:c r="L76" s="10" t="str">
        <x:v>House scene is only partly colored. The path, roof, tree trunk, some flowers and clouds are colored, but large important areas such as the house body, sun, foliage and background remain unfinished. Visual organization is still understandable.</x:v>
      </x:c>
      <x:c r="M76" s="10" t="str">
        <x:v>Pending</x:v>
      </x:c>
    </x:row>
  </x:sheetData>
  <x:conditionalFormatting sqref="K2:K76">
    <x:cfRule type="expression" dxfId="0" priority="1">
      <x:formula>K2="Developing"</x:formula>
    </x:cfRule>
    <x:cfRule type="expression" dxfId="1" priority="2">
      <x:formula>K2="Moderate"</x:formula>
    </x:cfRule>
    <x:cfRule type="expression" dxfId="2" priority="3">
      <x:formula>K2="High"</x:formula>
    </x:cfRule>
  </x:conditionalFormatting>
  <x:dataValidations count="1">
    <x:dataValidation type="list" sqref="M2:M76">
      <x:formula1>"Pending,Validated,Revised"</x:formula1>
    </x:dataValidation>
  </x:dataValidations>
  <x:pageMargins left="0.7" right="0.7" top="0.75" bottom="0.75" header="0.3" footer="0.3"/>
</x:worksheet>
</file>